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ananddivakaran/Documents/Anand/MDS/cpsa/docs/"/>
    </mc:Choice>
  </mc:AlternateContent>
  <xr:revisionPtr revIDLastSave="0" documentId="8_{AF936FA7-C930-1243-B4CF-D38B48D89124}" xr6:coauthVersionLast="47" xr6:coauthVersionMax="47" xr10:uidLastSave="{00000000-0000-0000-0000-000000000000}"/>
  <bookViews>
    <workbookView xWindow="0" yWindow="600" windowWidth="18380" windowHeight="15800" activeTab="3" xr2:uid="{00000000-000D-0000-FFFF-FFFF00000000}"/>
  </bookViews>
  <sheets>
    <sheet name="2018 and prior" sheetId="1" r:id="rId1"/>
    <sheet name="Sheet4" sheetId="7" r:id="rId2"/>
    <sheet name="Sheet5" sheetId="8" r:id="rId3"/>
    <sheet name="2019 and beyond" sheetId="3" r:id="rId4"/>
    <sheet name="Sheet1" sheetId="9" r:id="rId5"/>
    <sheet name="Sheet2" sheetId="10" r:id="rId6"/>
    <sheet name="Sheet3" sheetId="11" r:id="rId7"/>
    <sheet name="Statistical Selection" sheetId="4" r:id="rId8"/>
    <sheet name="Logical Selection" sheetId="5" r:id="rId9"/>
    <sheet name="Data Treatment" sheetId="6" r:id="rId10"/>
  </sheets>
  <definedNames>
    <definedName name="_xlnm._FilterDatabase" localSheetId="2" hidden="1">Sheet5!$A$1:$D$1</definedName>
    <definedName name="_xlnm.Print_Area" localSheetId="0">Table2[#All]</definedName>
    <definedName name="_xlnm.Print_Area" localSheetId="3">Table22[#All]</definedName>
    <definedName name="_xlnm.Print_Titles" localSheetId="0">'2018 and prior'!$1:$1</definedName>
    <definedName name="_xlnm.Print_Titles" localSheetId="3">'2019 and beyond'!$1:$1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9" l="1"/>
  <c r="C22" i="9"/>
  <c r="D17" i="9"/>
  <c r="D16" i="9"/>
  <c r="D15" i="9"/>
  <c r="D14" i="9"/>
  <c r="D13" i="9"/>
  <c r="D12" i="9"/>
  <c r="B7" i="9"/>
</calcChain>
</file>

<file path=xl/sharedStrings.xml><?xml version="1.0" encoding="utf-8"?>
<sst xmlns="http://schemas.openxmlformats.org/spreadsheetml/2006/main" count="1066" uniqueCount="492">
  <si>
    <t>CPSC_Case_Number</t>
  </si>
  <si>
    <t>Treatment_Date</t>
  </si>
  <si>
    <t>Age</t>
  </si>
  <si>
    <t>Sex</t>
  </si>
  <si>
    <t>Race</t>
  </si>
  <si>
    <t>Other_Race</t>
  </si>
  <si>
    <t>Body_Part</t>
  </si>
  <si>
    <t>Diagnosis</t>
  </si>
  <si>
    <t>Other_Diagnosis</t>
  </si>
  <si>
    <t>Disposition</t>
  </si>
  <si>
    <t>Location</t>
  </si>
  <si>
    <t>Fire_Involvement</t>
  </si>
  <si>
    <t>Product_1</t>
  </si>
  <si>
    <t>Product_2</t>
  </si>
  <si>
    <t>Stratum</t>
  </si>
  <si>
    <t>PSU</t>
  </si>
  <si>
    <t>Weight</t>
  </si>
  <si>
    <t>NEK</t>
  </si>
  <si>
    <t>Trmt_date</t>
  </si>
  <si>
    <t>Raceoth</t>
  </si>
  <si>
    <t>Bdpt</t>
  </si>
  <si>
    <t>Diag</t>
  </si>
  <si>
    <t>Diagoth</t>
  </si>
  <si>
    <t>Disp</t>
  </si>
  <si>
    <t>Loc</t>
  </si>
  <si>
    <t>Fmv</t>
  </si>
  <si>
    <t>Prod1</t>
  </si>
  <si>
    <t>Prod2</t>
  </si>
  <si>
    <t>Wt</t>
  </si>
  <si>
    <t>Date of Treatment</t>
  </si>
  <si>
    <t xml:space="preserve"> </t>
  </si>
  <si>
    <t>Excel/Tab Variable</t>
  </si>
  <si>
    <t>SAS Variable</t>
  </si>
  <si>
    <t>1 - Male</t>
  </si>
  <si>
    <t>2 - Female</t>
  </si>
  <si>
    <t>CPSC case number</t>
  </si>
  <si>
    <t>Age of Patient</t>
  </si>
  <si>
    <t>Sex of Patient</t>
  </si>
  <si>
    <t>Race of Patient</t>
  </si>
  <si>
    <t>Injured Body Part</t>
  </si>
  <si>
    <t>Injury Diagnosis</t>
  </si>
  <si>
    <t>Product_3</t>
  </si>
  <si>
    <t>Prod3</t>
  </si>
  <si>
    <t>Bdpt2</t>
  </si>
  <si>
    <t>Diag2</t>
  </si>
  <si>
    <t>Diagoth2</t>
  </si>
  <si>
    <t>Narrative</t>
  </si>
  <si>
    <t>Narr</t>
  </si>
  <si>
    <t>Hispanic</t>
  </si>
  <si>
    <t>1 - Yes</t>
  </si>
  <si>
    <t>2 - No</t>
  </si>
  <si>
    <t>0 - Unknown</t>
  </si>
  <si>
    <t>Alcohol</t>
  </si>
  <si>
    <t>0 - No/No information</t>
  </si>
  <si>
    <t>Drug</t>
  </si>
  <si>
    <t>Description/Code book</t>
  </si>
  <si>
    <t>1 - Home</t>
  </si>
  <si>
    <t>7 - Industrial</t>
  </si>
  <si>
    <t>8 - School/Daycare</t>
  </si>
  <si>
    <t>1 = White</t>
  </si>
  <si>
    <t>2 = Black/African American</t>
  </si>
  <si>
    <t>4 = Asian</t>
  </si>
  <si>
    <t>5 = American Indian/Alaska Native</t>
  </si>
  <si>
    <t>6 = Native Hawaiian/Pacific Islander</t>
  </si>
  <si>
    <t>3 = Other</t>
  </si>
  <si>
    <t>Injured Body Part 2- available from 2019</t>
  </si>
  <si>
    <t>Injury Diagnosis 2 - available from 2019</t>
  </si>
  <si>
    <t>Other_Diagnosis_2</t>
  </si>
  <si>
    <t>Diagnosis_2</t>
  </si>
  <si>
    <t>Body_Part_2</t>
  </si>
  <si>
    <t xml:space="preserve">0 - Internal </t>
  </si>
  <si>
    <t xml:space="preserve">30 - Shoulder </t>
  </si>
  <si>
    <t>31 - Upper Trunk</t>
  </si>
  <si>
    <t xml:space="preserve">32 - Elbow </t>
  </si>
  <si>
    <t xml:space="preserve">33 - Lower Arm </t>
  </si>
  <si>
    <t xml:space="preserve">34 - Wrist </t>
  </si>
  <si>
    <t xml:space="preserve">35 - Knee </t>
  </si>
  <si>
    <t xml:space="preserve">36 - Lower Leg </t>
  </si>
  <si>
    <t xml:space="preserve">37 - Ankle </t>
  </si>
  <si>
    <t xml:space="preserve">38 - Pubic Region </t>
  </si>
  <si>
    <t xml:space="preserve">75 - Head </t>
  </si>
  <si>
    <t xml:space="preserve">76 - Face </t>
  </si>
  <si>
    <t xml:space="preserve">77 - Eyeball </t>
  </si>
  <si>
    <t>79 - Lower Trunk</t>
  </si>
  <si>
    <t>80 - Upper Arm</t>
  </si>
  <si>
    <t xml:space="preserve">81 - Upper Leg </t>
  </si>
  <si>
    <t xml:space="preserve">82 - Hand </t>
  </si>
  <si>
    <t xml:space="preserve">83 - Foot </t>
  </si>
  <si>
    <t xml:space="preserve">84 - 25-50% of Body </t>
  </si>
  <si>
    <t xml:space="preserve">85 - All Parts Body </t>
  </si>
  <si>
    <t xml:space="preserve">87 - Not Stated/Unk </t>
  </si>
  <si>
    <t xml:space="preserve">88 - Mouth </t>
  </si>
  <si>
    <t xml:space="preserve">89 - Neck </t>
  </si>
  <si>
    <t xml:space="preserve">92 - Finger </t>
  </si>
  <si>
    <t>93 - Toe</t>
  </si>
  <si>
    <t xml:space="preserve">94 - Ear </t>
  </si>
  <si>
    <t xml:space="preserve">41 - Ingestion </t>
  </si>
  <si>
    <t xml:space="preserve">42 - Aspiration </t>
  </si>
  <si>
    <t xml:space="preserve">50 - Amputaion </t>
  </si>
  <si>
    <t xml:space="preserve">51 - Burns, Thermal </t>
  </si>
  <si>
    <t xml:space="preserve">46 - Burns, Electrical </t>
  </si>
  <si>
    <t>47 - Burns, Not Specified</t>
  </si>
  <si>
    <t xml:space="preserve">48 - Burns, Scald </t>
  </si>
  <si>
    <t xml:space="preserve">49 - Burns, Chemical </t>
  </si>
  <si>
    <t>52 - Concussions</t>
  </si>
  <si>
    <t>53 - Contusions, Abrasions</t>
  </si>
  <si>
    <t>54 - Crushing</t>
  </si>
  <si>
    <t>55 - Dislocation</t>
  </si>
  <si>
    <t>56 - Foreign Body</t>
  </si>
  <si>
    <t>57 - Fracture</t>
  </si>
  <si>
    <t>58 - Hematoma</t>
  </si>
  <si>
    <t>59 - Laceration</t>
  </si>
  <si>
    <t>60 - Dental Injury</t>
  </si>
  <si>
    <t>61 - Nerve Damage</t>
  </si>
  <si>
    <t>62 - Internal Organ Injury</t>
  </si>
  <si>
    <t>63 - Puncture</t>
  </si>
  <si>
    <t>64 - Strain, Sprain</t>
  </si>
  <si>
    <t>65 - Anoxia</t>
  </si>
  <si>
    <t>66 - Hemorrhage</t>
  </si>
  <si>
    <t>67 - Electric Shock</t>
  </si>
  <si>
    <t>68 - Poisoning</t>
  </si>
  <si>
    <t>69 - Submersion</t>
  </si>
  <si>
    <t>71 - Other/Not Stated</t>
  </si>
  <si>
    <t>72 - Avulsion</t>
  </si>
  <si>
    <t>73 - Burns, Radiation</t>
  </si>
  <si>
    <t>74 - Dermatitis, Conjunctivitis</t>
  </si>
  <si>
    <t xml:space="preserve">1 - Treated/Examined and Released </t>
  </si>
  <si>
    <t>2 - Treated and Transferred</t>
  </si>
  <si>
    <t xml:space="preserve">4 - Treated and Admitted/Hospitalized </t>
  </si>
  <si>
    <t>5 - Held for Observation</t>
  </si>
  <si>
    <t>6 - Left Without Being Seen</t>
  </si>
  <si>
    <t>8 - Fatality, Incl. DOA, Died in ER</t>
  </si>
  <si>
    <t xml:space="preserve">9 - Unknown, Not Stated </t>
  </si>
  <si>
    <t>Incident Location</t>
  </si>
  <si>
    <t>0 - Not Recorded</t>
  </si>
  <si>
    <t>2 - Farm/Ranch</t>
  </si>
  <si>
    <t>4 - Street or Highway</t>
  </si>
  <si>
    <t>5 - Other Public Property</t>
  </si>
  <si>
    <t>6- Mobile/Manufactured Home</t>
  </si>
  <si>
    <t>9 - Place of Recreation or Sports</t>
  </si>
  <si>
    <t>Fire Involvement</t>
  </si>
  <si>
    <t>0 - Age Not Recorded</t>
  </si>
  <si>
    <t>2 to 120 - Age in Years</t>
  </si>
  <si>
    <t>201 to 223 - Age 1 to 23 Months</t>
  </si>
  <si>
    <t>0 = Not Stated in ED Record</t>
  </si>
  <si>
    <t>Hispanic, Latino/Latina, or of Spanish Origin - available from 2019</t>
  </si>
  <si>
    <t>0 - No Fire Involved or Fire Involvement Not Recorded</t>
  </si>
  <si>
    <t>1 - Fire Involved and Fire Department Attended</t>
  </si>
  <si>
    <t>2 - Fire Involved and Fire Department Did Not Attend</t>
  </si>
  <si>
    <t xml:space="preserve">3 - Fire Involved and Unknown Fire Department Attendance </t>
  </si>
  <si>
    <t>0 - No/No Information</t>
  </si>
  <si>
    <t>Product Code (See NEISS Coding Manual for Details)</t>
  </si>
  <si>
    <t>Product Code 2 (See NEISS Coding Manual for Details)</t>
  </si>
  <si>
    <t>Product Code 3 (See NEISS Coding Manual for Details)  - available from 2019</t>
  </si>
  <si>
    <t xml:space="preserve">Description of Injury Event </t>
  </si>
  <si>
    <t>Design Variable-Stratum</t>
  </si>
  <si>
    <t>Design Variable-Primary Sampling Unit (PSU)</t>
  </si>
  <si>
    <t>Statistical Weight for National Estimates</t>
  </si>
  <si>
    <t>Description of Other Diagnosis 2 (Used with Diag2=71)  - available from 2019</t>
  </si>
  <si>
    <t>Description of Other Race (Used with Race=3)</t>
  </si>
  <si>
    <t>Description of Other Diagnosis (Used with Diag=71)</t>
  </si>
  <si>
    <t xml:space="preserve">78 - Upper Trunk(Old) </t>
  </si>
  <si>
    <t xml:space="preserve">86 - Other(Old) </t>
  </si>
  <si>
    <t xml:space="preserve">90 - Lower Arm(Old) </t>
  </si>
  <si>
    <t>91 - Lower Leg(Old)</t>
  </si>
  <si>
    <t>Consumed Alcohol Prior to or During the Incident - available from 2019</t>
  </si>
  <si>
    <t>Use of Drugs or Medication Contributed to the Incident or the Severity of the Injury - available from 2019</t>
  </si>
  <si>
    <t>3 - Non-Binary/Other (NA before 2021)</t>
  </si>
  <si>
    <t>Include/Exclude</t>
  </si>
  <si>
    <t>Include/Exclude Reason</t>
  </si>
  <si>
    <t>Exclude</t>
  </si>
  <si>
    <t>This is a record identifier and does not hold any predictive value.</t>
  </si>
  <si>
    <t>Include</t>
  </si>
  <si>
    <t>Helps to define the treatment year/month. Valueable for timeseries analysis.</t>
  </si>
  <si>
    <t>Can be used for prediction.</t>
  </si>
  <si>
    <t>Understand the demography of ER admissions.</t>
  </si>
  <si>
    <t>Only used when Race = 3 (Other) and 93% of the values are null.</t>
  </si>
  <si>
    <t>Available only from 2019 and 73% of the records have a NULL value.</t>
  </si>
  <si>
    <t>Will help to understand the relation between hospitalization and the injury.</t>
  </si>
  <si>
    <t>94% of the records have a NULL value. Added to log the injury to the secondary body part.</t>
  </si>
  <si>
    <t>Will help to understand the relation between hospitalization and the injured body part.</t>
  </si>
  <si>
    <t>93% of the records have a NULL value.  Available only from 2019.</t>
  </si>
  <si>
    <t>Only used when the diganosis is 71 - Other. 86% of the records have a NULL value.</t>
  </si>
  <si>
    <t>98% of the records have a NULL value. Only used with diagnosis code 71 - Other.</t>
  </si>
  <si>
    <t>This can be used to generate the target variable. (Hospitalized - Yes/No). But we exclue this feature for modelling as this variable is not avaible at the time of prediction.</t>
  </si>
  <si>
    <t>Can be used to gain inspights into the where the injury happened.</t>
  </si>
  <si>
    <t>Use this along with the narrative field to decide if there was a fire involvement.</t>
  </si>
  <si>
    <t>Use this along with the narrative field to decide if there was an alcohol involvement.</t>
  </si>
  <si>
    <t>Helps to understand what product caused the injury.</t>
  </si>
  <si>
    <t xml:space="preserve">Only available from 2019. </t>
  </si>
  <si>
    <t>Can derive insights into the nature of injury and cause.</t>
  </si>
  <si>
    <t>Included as we can calulate national estimates using this atttribute.</t>
  </si>
  <si>
    <t>Defines the hospital wehere the treatment happened and does not techically define the disposition.</t>
  </si>
  <si>
    <t>Cramers_V Score</t>
  </si>
  <si>
    <t>Helps to define the treatment year/month. Valueable for timeseries analysis. Exclude for Modelling but include for Analysis.</t>
  </si>
  <si>
    <t>Include for Modelling</t>
  </si>
  <si>
    <t>No</t>
  </si>
  <si>
    <t>Yes</t>
  </si>
  <si>
    <t>Can be used for prediction. Low Cramers V score and hence not to be used for Modelling.</t>
  </si>
  <si>
    <t>Understand the demography of ER admissions. Low Cramers V score and hence not to be used for Modelling.</t>
  </si>
  <si>
    <t>High Cramers V score and hence can be used for Analysis/Modelling</t>
  </si>
  <si>
    <t>yes</t>
  </si>
  <si>
    <t>TBD after Feature Engineering.</t>
  </si>
  <si>
    <t>Feature Name</t>
  </si>
  <si>
    <t>Include for EDA?</t>
  </si>
  <si>
    <t>Helps to define the treatment year/month. Valuable for timeseries analysis.</t>
  </si>
  <si>
    <t>Only used when the diagnosis is 71 - Other. 86% of the records have a NULL value.</t>
  </si>
  <si>
    <t>This can be used to generate the target variable. (Hospitalized - Yes/No). But we exclude this feature for modelling as this variable is not available at the time of prediction.</t>
  </si>
  <si>
    <t>Can be used to gain insights into the where the injury happened.</t>
  </si>
  <si>
    <t>Defines the hospital where the treatment happened and does not technically define the disposition.</t>
  </si>
  <si>
    <t>Included as we can calculate national estimates using this attribute.</t>
  </si>
  <si>
    <t>Column Name</t>
  </si>
  <si>
    <t>Other Diagnosis 2</t>
  </si>
  <si>
    <t>Diagnosis 2</t>
  </si>
  <si>
    <t>Body Part 2</t>
  </si>
  <si>
    <t>Other Race</t>
  </si>
  <si>
    <t xml:space="preserve">Other Diagnosis </t>
  </si>
  <si>
    <t>Treatment Description</t>
  </si>
  <si>
    <t>NULL</t>
  </si>
  <si>
    <t>Only used when Race = 3 (Other) and 93% of the values are null. This features describes the Race as a text. For records with a NULL value, we can fill with the text "OTHER" and consider it as a separate class.</t>
  </si>
  <si>
    <t>There are three categories of observations
1. 0 - Unknown
2. 1 - Yes
3. 2 - No
For records with NULL values, we can fill with a 0 (Unknown)</t>
  </si>
  <si>
    <t>Only used when the diganosis is 71 - Other. 86% of the records have a NULL value. This feature is filled with discription of the diagnosis. We can fill the NULL values with the text 'UNKNOWN' to consider it as a separate class.</t>
  </si>
  <si>
    <t xml:space="preserve">94% of the records have a NULL value. Added to log the injury to the secondary body part. Defines the secondary body part code - fill it with '87' - Not stated/Un Known. </t>
  </si>
  <si>
    <t>93% of the records have a NULL value.  Available only from 2019. This feature holds the description of the Diagnosis. Fill the NULL values with the text "UNKNOWN"</t>
  </si>
  <si>
    <t>Use of Drugs or Medication Contributed to the Incident or the Severity of the Injury - available from 2019. 
There are 2 categories of values in the field. 
0 =No/No Informaiton
1 = Yes
Fill the NULL values with a new value "3" to consider it as a separate class.</t>
  </si>
  <si>
    <t>Unknown</t>
  </si>
  <si>
    <t>Null/Missing-Unknown?</t>
  </si>
  <si>
    <t>99% of the records does not have a value - we can treat this as a category and will not substitute.</t>
  </si>
  <si>
    <t>29% of the records does not have a value - we can treat this as a category and will not substitute.</t>
  </si>
  <si>
    <t>Roughly 382 records does not have a disposition - we need to know the disposition to decide if a patient was hospitalized or not.  we have two options. 
1. Drop these records as the count is &lt;1%
2. Classify these records as 'Not Hospitalized' when we perfrom the feature engineering.
We will choose **#2** at this juncture.</t>
  </si>
  <si>
    <t>Less than 1% of the values does not have a Sex. We can substitute these records with the common Sex value - Male (1)</t>
  </si>
  <si>
    <t>28% of the records does not have a value - we can treat this as a category and will not substitute.</t>
  </si>
  <si>
    <t>Old Product</t>
  </si>
  <si>
    <t>New Product</t>
  </si>
  <si>
    <t>Baby Carriers (All)</t>
  </si>
  <si>
    <t>Off-Road Vehicles (ATV/UTV)</t>
  </si>
  <si>
    <t>Micromobility (Scooters/Hoverboards)</t>
  </si>
  <si>
    <t>Power-Assisted Cycles (E-bikes)</t>
  </si>
  <si>
    <t xml:space="preserve">2005 product </t>
  </si>
  <si>
    <t>2006- Present</t>
  </si>
  <si>
    <t>2005- Present</t>
  </si>
  <si>
    <t>2005-2009</t>
  </si>
  <si>
    <t>2010-2024</t>
  </si>
  <si>
    <t>2005-2008</t>
  </si>
  <si>
    <t>2009-2024</t>
  </si>
  <si>
    <t>2021-2024</t>
  </si>
  <si>
    <t>2005-2010</t>
  </si>
  <si>
    <t>2005-Present</t>
  </si>
  <si>
    <t>2005-2017</t>
  </si>
  <si>
    <t>Product ID</t>
  </si>
  <si>
    <t>Injury Year</t>
  </si>
  <si>
    <t>Comments</t>
  </si>
  <si>
    <t>Combines 0514 and 0564</t>
  </si>
  <si>
    <t>Current - No need to reclassify</t>
  </si>
  <si>
    <t>Split from 1417</t>
  </si>
  <si>
    <t>Name change. Replaces 1855</t>
  </si>
  <si>
    <t>Effective 2011, for use in Trauma hospitals only</t>
  </si>
  <si>
    <t>Expansion of 1801 along with 1842 &amp; 1843</t>
  </si>
  <si>
    <t>Deleted in 2005, and replaced with 1145</t>
  </si>
  <si>
    <t>Expansion of 3204 along with 3258</t>
  </si>
  <si>
    <t>Expansion of 0806 along with 0865 &amp; 0873. In 2006, merged with 0865 and 0873 to make 0897</t>
  </si>
  <si>
    <t>Reclassified Product ID</t>
  </si>
  <si>
    <t>New Product - Do not reclassify/bin</t>
  </si>
  <si>
    <t>Combine 514, 564 to 569</t>
  </si>
  <si>
    <t xml:space="preserve">New code added in 2008 </t>
  </si>
  <si>
    <t>Combine 865, 873, 876 to 897</t>
  </si>
  <si>
    <t>Replace 1855 with 1145</t>
  </si>
  <si>
    <t xml:space="preserve">In 2010, merged with 5 other codes and replaced by 5021 and 5017.
One-&gt;Many Taxonomy </t>
  </si>
  <si>
    <t xml:space="preserve">Expansion of 1108 along with 1130 &amp; 1131. Deleted in 2005.
In 2010, discontinued use of product
codes 1332, 1383, 1306, 1317, 1318,
1356, and 5004, and merged into 5021. </t>
  </si>
  <si>
    <t>Incorporates part of 0124. Deleted in
NEISS 12/94. Restored in NEISS 5/00.
Split into 1465 and 1466 in 2009. 
One - Many Taxonomy - Convert to Decorative Yard Equipment</t>
  </si>
  <si>
    <t xml:space="preserve">1417, 1465, 1466 to Decorative Yard Equipment </t>
  </si>
  <si>
    <t>Decorative Yard Equipment</t>
  </si>
  <si>
    <t>Effective January 1, 2010, there was a major revision of the “toy codes.” The product code 5004/Toys, not elsewhere classified was replaced by several new codes, including 1395/Toys, not specified and 1381/Toys, not elsewhere classified, along with the implementation of a number of new toy codes to capture and refine the coding of products formerly coded as 5004.
Mapping to the general Toys product.</t>
  </si>
  <si>
    <t>Mapped?</t>
  </si>
  <si>
    <t>Combine 1132,1332, 1383,1306, 1317, 1318, 1356, 5004 to 5021(Toy Vehicles)</t>
  </si>
  <si>
    <t>Dataset</t>
  </si>
  <si>
    <t>Record Count</t>
  </si>
  <si>
    <t>Feature Count</t>
  </si>
  <si>
    <t>Train</t>
  </si>
  <si>
    <t>Evaluation</t>
  </si>
  <si>
    <t>Holdout</t>
  </si>
  <si>
    <t>Total</t>
  </si>
  <si>
    <t>Percentage</t>
  </si>
  <si>
    <t>Count</t>
  </si>
  <si>
    <t>data_year</t>
  </si>
  <si>
    <t>Hospitalized</t>
  </si>
  <si>
    <t>Ratio</t>
  </si>
  <si>
    <t>Hospitalized?</t>
  </si>
  <si>
    <t>'cat__Diagnosis_41',</t>
  </si>
  <si>
    <t>'cat__Diagnosis_42',</t>
  </si>
  <si>
    <t>'cat__Diagnosis_46',</t>
  </si>
  <si>
    <t>'cat__Diagnosis_47',</t>
  </si>
  <si>
    <t>'cat__Diagnosis_48',</t>
  </si>
  <si>
    <t>'cat__Diagnosis_49',</t>
  </si>
  <si>
    <t>'cat__Diagnosis_50',</t>
  </si>
  <si>
    <t>'cat__Diagnosis_51',</t>
  </si>
  <si>
    <t>'cat__Diagnosis_52',</t>
  </si>
  <si>
    <t>'cat__Diagnosis_53',</t>
  </si>
  <si>
    <t>'cat__Diagnosis_54',</t>
  </si>
  <si>
    <t>'cat__Diagnosis_55',</t>
  </si>
  <si>
    <t>'cat__Diagnosis_56',</t>
  </si>
  <si>
    <t>'cat__Diagnosis_57',</t>
  </si>
  <si>
    <t>'cat__Diagnosis_58',</t>
  </si>
  <si>
    <t>'cat__Diagnosis_59',</t>
  </si>
  <si>
    <t>'cat__Diagnosis_60',</t>
  </si>
  <si>
    <t>'cat__Diagnosis_61',</t>
  </si>
  <si>
    <t>'cat__Diagnosis_62',</t>
  </si>
  <si>
    <t>'cat__Diagnosis_63',</t>
  </si>
  <si>
    <t>'cat__Diagnosis_64',</t>
  </si>
  <si>
    <t>'cat__Diagnosis_65',</t>
  </si>
  <si>
    <t>'cat__Diagnosis_66',</t>
  </si>
  <si>
    <t>'cat__Diagnosis_67',</t>
  </si>
  <si>
    <t>'cat__Diagnosis_68',</t>
  </si>
  <si>
    <t>'cat__Diagnosis_69',</t>
  </si>
  <si>
    <t>'cat__Diagnosis_71',</t>
  </si>
  <si>
    <t>'cat__Diagnosis_72',</t>
  </si>
  <si>
    <t>'cat__Diagnosis_73',</t>
  </si>
  <si>
    <t>'cat__Diagnosis_74',</t>
  </si>
  <si>
    <t>'cat__Body_Part_0',</t>
  </si>
  <si>
    <t>'cat__Body_Part_30',</t>
  </si>
  <si>
    <t>'cat__Body_Part_31',</t>
  </si>
  <si>
    <t>'cat__Body_Part_32',</t>
  </si>
  <si>
    <t>'cat__Body_Part_33',</t>
  </si>
  <si>
    <t>'cat__Body_Part_34',</t>
  </si>
  <si>
    <t>'cat__Body_Part_35',</t>
  </si>
  <si>
    <t>'cat__Body_Part_36',</t>
  </si>
  <si>
    <t>'cat__Body_Part_37',</t>
  </si>
  <si>
    <t>'cat__Body_Part_38',</t>
  </si>
  <si>
    <t>'cat__Body_Part_75',</t>
  </si>
  <si>
    <t>'cat__Body_Part_76',</t>
  </si>
  <si>
    <t>'cat__Body_Part_77',</t>
  </si>
  <si>
    <t>'cat__Body_Part_79',</t>
  </si>
  <si>
    <t>'cat__Body_Part_80',</t>
  </si>
  <si>
    <t>'cat__Body_Part_81',</t>
  </si>
  <si>
    <t>'cat__Body_Part_82',</t>
  </si>
  <si>
    <t>'cat__Body_Part_83',</t>
  </si>
  <si>
    <t>'cat__Body_Part_84',</t>
  </si>
  <si>
    <t>'cat__Body_Part_85',</t>
  </si>
  <si>
    <t>'cat__Body_Part_87',</t>
  </si>
  <si>
    <t>'cat__Body_Part_88',</t>
  </si>
  <si>
    <t>'cat__Body_Part_89',</t>
  </si>
  <si>
    <t>'cat__Body_Part_92',</t>
  </si>
  <si>
    <t>'cat__Body_Part_93',</t>
  </si>
  <si>
    <t>'cat__Body_Part_94',</t>
  </si>
  <si>
    <t>'cat__Location_0',</t>
  </si>
  <si>
    <t>'cat__Location_1',</t>
  </si>
  <si>
    <t>'cat__Location_2',</t>
  </si>
  <si>
    <t>'cat__Location_4',</t>
  </si>
  <si>
    <t>'cat__Location_5',</t>
  </si>
  <si>
    <t>'cat__Location_6',</t>
  </si>
  <si>
    <t>'cat__Location_7',</t>
  </si>
  <si>
    <t>'cat__Location_8',</t>
  </si>
  <si>
    <t>'cat__Location_9',</t>
  </si>
  <si>
    <t>'cat__Body_Part_2_0.0',</t>
  </si>
  <si>
    <t>'cat__Body_Part_2_30.0',</t>
  </si>
  <si>
    <t>'cat__Body_Part_2_31.0',</t>
  </si>
  <si>
    <t>'cat__Body_Part_2_32.0',</t>
  </si>
  <si>
    <t>'cat__Body_Part_2_33.0',</t>
  </si>
  <si>
    <t>'cat__Body_Part_2_34.0',</t>
  </si>
  <si>
    <t>'cat__Body_Part_2_35.0',</t>
  </si>
  <si>
    <t>'cat__Body_Part_2_36.0',</t>
  </si>
  <si>
    <t>'cat__Body_Part_2_37.0',</t>
  </si>
  <si>
    <t>'cat__Body_Part_2_38.0',</t>
  </si>
  <si>
    <t>'cat__Body_Part_2_75.0',</t>
  </si>
  <si>
    <t>'cat__Body_Part_2_76.0',</t>
  </si>
  <si>
    <t>'cat__Body_Part_2_77.0',</t>
  </si>
  <si>
    <t>'cat__Body_Part_2_79.0',</t>
  </si>
  <si>
    <t>'cat__Body_Part_2_80.0',</t>
  </si>
  <si>
    <t>'cat__Body_Part_2_81.0',</t>
  </si>
  <si>
    <t>'cat__Body_Part_2_82.0',</t>
  </si>
  <si>
    <t>'cat__Body_Part_2_83.0',</t>
  </si>
  <si>
    <t>'cat__Body_Part_2_84.0',</t>
  </si>
  <si>
    <t>'cat__Body_Part_2_85.0',</t>
  </si>
  <si>
    <t>'cat__Body_Part_2_87.0',</t>
  </si>
  <si>
    <t>'cat__Body_Part_2_88.0',</t>
  </si>
  <si>
    <t>'cat__Body_Part_2_89.0',</t>
  </si>
  <si>
    <t>'cat__Body_Part_2_92.0',</t>
  </si>
  <si>
    <t>'cat__Body_Part_2_93.0',</t>
  </si>
  <si>
    <t>'cat__Body_Part_2_94.0',</t>
  </si>
  <si>
    <t>'cat__Injury_Mechanism_Burn',</t>
  </si>
  <si>
    <t>'cat__Injury_Mechanism_Fall',</t>
  </si>
  <si>
    <t>'cat__Injury_Mechanism_Ingestion/Choking',</t>
  </si>
  <si>
    <t>'cat__Injury_Mechanism_Laceration/Cut',</t>
  </si>
  <si>
    <t>'cat__Injury_Mechanism_Other/Unspecified',</t>
  </si>
  <si>
    <t>'cat__Injury_Mechanism_Struck</t>
  </si>
  <si>
    <t>By',</t>
  </si>
  <si>
    <t>'remainder__Product_1',</t>
  </si>
  <si>
    <t>'remainder__Age_Scaled'</t>
  </si>
  <si>
    <t xml:space="preserve"> cat__Injury_Mechanism_Struck</t>
  </si>
  <si>
    <t xml:space="preserve"> remainder__Age_Scaled </t>
  </si>
  <si>
    <t xml:space="preserve"> cat__Diagnosis_41  </t>
  </si>
  <si>
    <t xml:space="preserve"> cat__Diagnosis_42  </t>
  </si>
  <si>
    <t xml:space="preserve"> cat__Diagnosis_46  </t>
  </si>
  <si>
    <t xml:space="preserve"> cat__Diagnosis_47  </t>
  </si>
  <si>
    <t xml:space="preserve"> cat__Diagnosis_48  </t>
  </si>
  <si>
    <t xml:space="preserve"> cat__Diagnosis_49  </t>
  </si>
  <si>
    <t xml:space="preserve"> cat__Diagnosis_50  </t>
  </si>
  <si>
    <t xml:space="preserve"> cat__Diagnosis_51  </t>
  </si>
  <si>
    <t xml:space="preserve"> cat__Diagnosis_52  </t>
  </si>
  <si>
    <t xml:space="preserve"> cat__Diagnosis_53  </t>
  </si>
  <si>
    <t xml:space="preserve"> cat__Diagnosis_54  </t>
  </si>
  <si>
    <t xml:space="preserve"> cat__Diagnosis_55  </t>
  </si>
  <si>
    <t xml:space="preserve"> cat__Diagnosis_56  </t>
  </si>
  <si>
    <t xml:space="preserve"> cat__Diagnosis_57  </t>
  </si>
  <si>
    <t xml:space="preserve"> cat__Diagnosis_58  </t>
  </si>
  <si>
    <t xml:space="preserve"> cat__Diagnosis_59  </t>
  </si>
  <si>
    <t xml:space="preserve"> cat__Diagnosis_60  </t>
  </si>
  <si>
    <t xml:space="preserve"> cat__Diagnosis_61  </t>
  </si>
  <si>
    <t xml:space="preserve"> cat__Diagnosis_62  </t>
  </si>
  <si>
    <t xml:space="preserve"> cat__Diagnosis_63  </t>
  </si>
  <si>
    <t xml:space="preserve"> cat__Diagnosis_64  </t>
  </si>
  <si>
    <t xml:space="preserve"> cat__Diagnosis_65  </t>
  </si>
  <si>
    <t xml:space="preserve"> cat__Diagnosis_66  </t>
  </si>
  <si>
    <t xml:space="preserve"> cat__Diagnosis_67  </t>
  </si>
  <si>
    <t xml:space="preserve"> cat__Diagnosis_68  </t>
  </si>
  <si>
    <t xml:space="preserve"> cat__Diagnosis_69  </t>
  </si>
  <si>
    <t xml:space="preserve"> cat__Diagnosis_71  </t>
  </si>
  <si>
    <t xml:space="preserve"> cat__Diagnosis_72  </t>
  </si>
  <si>
    <t xml:space="preserve"> cat__Diagnosis_73  </t>
  </si>
  <si>
    <t xml:space="preserve"> cat__Diagnosis_74  </t>
  </si>
  <si>
    <t xml:space="preserve"> cat__Body_Part_0  </t>
  </si>
  <si>
    <t xml:space="preserve"> cat__Body_Part_30  </t>
  </si>
  <si>
    <t xml:space="preserve"> cat__Body_Part_31  </t>
  </si>
  <si>
    <t xml:space="preserve"> cat__Body_Part_32  </t>
  </si>
  <si>
    <t xml:space="preserve"> cat__Body_Part_33  </t>
  </si>
  <si>
    <t xml:space="preserve"> cat__Body_Part_34  </t>
  </si>
  <si>
    <t xml:space="preserve"> cat__Body_Part_35  </t>
  </si>
  <si>
    <t xml:space="preserve"> cat__Body_Part_36  </t>
  </si>
  <si>
    <t xml:space="preserve"> cat__Body_Part_37  </t>
  </si>
  <si>
    <t xml:space="preserve"> cat__Body_Part_38  </t>
  </si>
  <si>
    <t xml:space="preserve"> cat__Body_Part_75  </t>
  </si>
  <si>
    <t xml:space="preserve"> cat__Body_Part_76  </t>
  </si>
  <si>
    <t xml:space="preserve"> cat__Body_Part_77  </t>
  </si>
  <si>
    <t xml:space="preserve"> cat__Body_Part_79  </t>
  </si>
  <si>
    <t xml:space="preserve"> cat__Body_Part_80  </t>
  </si>
  <si>
    <t xml:space="preserve"> cat__Body_Part_81  </t>
  </si>
  <si>
    <t xml:space="preserve"> cat__Body_Part_82  </t>
  </si>
  <si>
    <t xml:space="preserve"> cat__Body_Part_83  </t>
  </si>
  <si>
    <t xml:space="preserve"> cat__Body_Part_84  </t>
  </si>
  <si>
    <t xml:space="preserve"> cat__Body_Part_85  </t>
  </si>
  <si>
    <t xml:space="preserve"> cat__Body_Part_87  </t>
  </si>
  <si>
    <t xml:space="preserve"> cat__Body_Part_88  </t>
  </si>
  <si>
    <t xml:space="preserve"> cat__Body_Part_89  </t>
  </si>
  <si>
    <t xml:space="preserve"> cat__Body_Part_92  </t>
  </si>
  <si>
    <t xml:space="preserve"> cat__Body_Part_93  </t>
  </si>
  <si>
    <t xml:space="preserve"> cat__Body_Part_94  </t>
  </si>
  <si>
    <t xml:space="preserve"> cat__Location_0  </t>
  </si>
  <si>
    <t xml:space="preserve"> cat__Location_1  </t>
  </si>
  <si>
    <t xml:space="preserve"> cat__Location_2  </t>
  </si>
  <si>
    <t xml:space="preserve"> cat__Location_4  </t>
  </si>
  <si>
    <t xml:space="preserve"> cat__Location_5  </t>
  </si>
  <si>
    <t xml:space="preserve"> cat__Location_6  </t>
  </si>
  <si>
    <t xml:space="preserve"> cat__Location_7  </t>
  </si>
  <si>
    <t xml:space="preserve"> cat__Location_8  </t>
  </si>
  <si>
    <t xml:space="preserve"> cat__Location_9  </t>
  </si>
  <si>
    <t xml:space="preserve"> cat__Body_Part_2_0.0  </t>
  </si>
  <si>
    <t xml:space="preserve"> cat__Body_Part_2_30.0  </t>
  </si>
  <si>
    <t xml:space="preserve"> cat__Body_Part_2_31.0  </t>
  </si>
  <si>
    <t xml:space="preserve"> cat__Body_Part_2_32.0  </t>
  </si>
  <si>
    <t xml:space="preserve"> cat__Body_Part_2_33.0  </t>
  </si>
  <si>
    <t xml:space="preserve"> cat__Body_Part_2_34.0  </t>
  </si>
  <si>
    <t xml:space="preserve"> cat__Body_Part_2_35.0  </t>
  </si>
  <si>
    <t xml:space="preserve"> cat__Body_Part_2_36.0  </t>
  </si>
  <si>
    <t xml:space="preserve"> cat__Body_Part_2_37.0  </t>
  </si>
  <si>
    <t xml:space="preserve"> cat__Body_Part_2_38.0  </t>
  </si>
  <si>
    <t xml:space="preserve"> cat__Body_Part_2_75.0  </t>
  </si>
  <si>
    <t xml:space="preserve"> cat__Body_Part_2_76.0  </t>
  </si>
  <si>
    <t xml:space="preserve"> cat__Body_Part_2_77.0  </t>
  </si>
  <si>
    <t xml:space="preserve"> cat__Body_Part_2_79.0  </t>
  </si>
  <si>
    <t xml:space="preserve"> cat__Body_Part_2_80.0  </t>
  </si>
  <si>
    <t xml:space="preserve"> cat__Body_Part_2_81.0  </t>
  </si>
  <si>
    <t xml:space="preserve"> cat__Body_Part_2_82.0  </t>
  </si>
  <si>
    <t xml:space="preserve"> cat__Body_Part_2_83.0  </t>
  </si>
  <si>
    <t xml:space="preserve"> cat__Body_Part_2_84.0  </t>
  </si>
  <si>
    <t xml:space="preserve"> cat__Body_Part_2_85.0  </t>
  </si>
  <si>
    <t xml:space="preserve"> cat__Body_Part_2_87.0  </t>
  </si>
  <si>
    <t xml:space="preserve"> cat__Body_Part_2_88.0  </t>
  </si>
  <si>
    <t xml:space="preserve"> cat__Body_Part_2_89.0  </t>
  </si>
  <si>
    <t xml:space="preserve"> cat__Body_Part_2_92.0  </t>
  </si>
  <si>
    <t xml:space="preserve"> cat__Body_Part_2_93.0  </t>
  </si>
  <si>
    <t xml:space="preserve"> cat__Body_Part_2_94.0  </t>
  </si>
  <si>
    <t xml:space="preserve"> cat__Injury_Mechanism_Burn  </t>
  </si>
  <si>
    <t xml:space="preserve"> cat__Injury_Mechanism_Fall  </t>
  </si>
  <si>
    <t xml:space="preserve"> cat__Injury_Mechanism_Ingestion/Choking  </t>
  </si>
  <si>
    <t xml:space="preserve"> cat__Injury_Mechanism_Laceration/Cut  </t>
  </si>
  <si>
    <t xml:space="preserve"> cat__Injury_Mechanism_Other/Unspecified  </t>
  </si>
  <si>
    <t xml:space="preserve">By  </t>
  </si>
  <si>
    <t xml:space="preserve"> remainder__Product_1  </t>
  </si>
  <si>
    <t>Feature List</t>
  </si>
  <si>
    <t xml:space="preserve"> cat__Injury_Mechanism_Struck By</t>
  </si>
  <si>
    <t>read the below classification report and explain how the algorithm is performing?</t>
  </si>
  <si>
    <t>--- Classification Report --- precision recall f1-score support 0 0.98 0.80 0.88 997519 1 0.30 0.82 0.43 99725 accuracy 0.81 1097244 macro avg 0.64 0.81 0.66 1097244 weighted avg 0.92 0.81 0.84 1097244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</si>
</sst>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Aptos"/>
    </font>
    <font>
      <b/>
      <sz val="11"/>
      <color theme="1"/>
      <name val="Calibri"/>
      <family val="2"/>
    </font>
    <font>
      <sz val="12"/>
      <color rgb="FFCCCCCC"/>
      <name val="Menlo"/>
      <family val="2"/>
    </font>
    <font>
      <sz val="9"/>
      <color theme="1"/>
      <name val="Menlo"/>
      <family val="2"/>
    </font>
    <font>
      <sz val="11"/>
      <color theme="1"/>
      <name val="Aptos"/>
    </font>
    <font>
      <sz val="16"/>
      <color rgb="FFE3E3E3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2" fillId="3" borderId="0" xfId="0" applyFont="1" applyFill="1" applyAlignment="1">
      <alignment vertical="top"/>
    </xf>
    <xf numFmtId="0" fontId="3" fillId="2" borderId="1" xfId="0" applyFont="1" applyFill="1" applyBorder="1" applyAlignment="1">
      <alignment horizontal="left" vertical="center" indent="13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/>
    <xf numFmtId="0" fontId="0" fillId="0" borderId="0" xfId="0" quotePrefix="1"/>
    <xf numFmtId="0" fontId="5" fillId="0" borderId="0" xfId="0" applyFont="1"/>
    <xf numFmtId="0" fontId="0" fillId="0" borderId="0" xfId="0" applyAlignment="1">
      <alignment horizontal="center" wrapText="1"/>
    </xf>
    <xf numFmtId="3" fontId="0" fillId="0" borderId="0" xfId="0" applyNumberFormat="1"/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40">
    <dxf>
      <alignment horizontal="general" vertical="top" textRotation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C112" totalsRowShown="0">
  <tableColumns count="3">
    <tableColumn id="1" xr3:uid="{00000000-0010-0000-0000-000001000000}" name="Excel/Tab Variable"/>
    <tableColumn id="2" xr3:uid="{00000000-0010-0000-0000-000002000000}" name="SAS Variable"/>
    <tableColumn id="3" xr3:uid="{00000000-0010-0000-0000-000003000000}" name="Description/Code book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CC7609-249C-DA4B-913A-9ABE60D5EFC7}" name="Table5" displayName="Table5" ref="A1:E48" totalsRowShown="0">
  <autoFilter ref="A1:E48" xr:uid="{E5CC7609-249C-DA4B-913A-9ABE60D5EFC7}"/>
  <tableColumns count="5">
    <tableColumn id="1" xr3:uid="{9E833026-55F9-F54F-AF97-FF4395C9C5B3}" name="Product ID" dataDxfId="39"/>
    <tableColumn id="2" xr3:uid="{91EBB196-61AF-FA41-8719-3805D3D9A775}" name="Reclassified Product ID" dataDxfId="38"/>
    <tableColumn id="3" xr3:uid="{B9AF7673-D7ED-234F-AE76-02AAE736859A}" name="Injury Year"/>
    <tableColumn id="4" xr3:uid="{17A42202-BD9E-B446-8E77-5EDC0D79B6D1}" name="Comments" dataDxfId="37"/>
    <tableColumn id="5" xr3:uid="{30F78473-1515-BA45-A9E0-F0E8B5B9DD02}" name="Mapped?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22" displayName="Table22" ref="A1:E123" totalsRowShown="0" dataDxfId="36">
  <tableColumns count="5">
    <tableColumn id="1" xr3:uid="{00000000-0010-0000-0100-000001000000}" name="Excel/Tab Variable" dataDxfId="35"/>
    <tableColumn id="2" xr3:uid="{00000000-0010-0000-0100-000002000000}" name="SAS Variable" dataDxfId="34"/>
    <tableColumn id="3" xr3:uid="{00000000-0010-0000-0100-000003000000}" name="Description/Code book" dataDxfId="33"/>
    <tableColumn id="4" xr3:uid="{A72D9C76-9D00-1A4F-9BE2-BD1E6A51FBC5}" name="Include/Exclude" dataDxfId="32"/>
    <tableColumn id="5" xr3:uid="{B655C88B-D042-1842-9E2B-05DDDCB2AF91}" name="Include/Exclude Reason" dataDxfId="31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B6ECC91-D0A3-B84A-8A2A-9B90FAB58D36}" name="Table6" displayName="Table6" ref="A3:D7" totalsRowShown="0" headerRowDxfId="30" dataDxfId="29">
  <autoFilter ref="A3:D7" xr:uid="{2B6ECC91-D0A3-B84A-8A2A-9B90FAB58D36}"/>
  <tableColumns count="4">
    <tableColumn id="1" xr3:uid="{82B86AE3-0438-B74B-A054-B94A6C412D5C}" name="Dataset" dataDxfId="28"/>
    <tableColumn id="2" xr3:uid="{94904802-BDE5-7641-BC99-33FF19A3A653}" name="Record Count" dataDxfId="27"/>
    <tableColumn id="3" xr3:uid="{198F9E55-F265-CC43-B89D-ED3ADC8C5349}" name="Percentage" dataDxfId="26"/>
    <tableColumn id="4" xr3:uid="{6A495048-2138-4546-B42A-A172F6EDC737}" name="Feature Count" dataDxfId="25"/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165C2F0-7717-2548-B441-C577232E82EE}" name="Table8" displayName="Table8" ref="A11:D17" totalsRowShown="0" headerRowDxfId="24" dataDxfId="23">
  <autoFilter ref="A11:D17" xr:uid="{3165C2F0-7717-2548-B441-C577232E82EE}"/>
  <tableColumns count="4">
    <tableColumn id="1" xr3:uid="{F831443B-313B-3249-B7BD-BFF978AB6862}" name="Dataset" dataDxfId="22"/>
    <tableColumn id="2" xr3:uid="{15D00940-C386-1A4A-B41B-24D59C2C3E7F}" name="Hospitalized" dataDxfId="21"/>
    <tableColumn id="3" xr3:uid="{F47F9129-2417-FC4A-9E5A-C962D4F0E872}" name="Count" dataDxfId="20"/>
    <tableColumn id="4" xr3:uid="{B492D953-661D-0242-A38A-D13F0BD2A6F9}" name="Ratio" dataDxfId="19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65F82F-9BAC-2044-8163-E0AB675714DE}" name="Table9" displayName="Table9" ref="A21:C23" totalsRowShown="0" headerRowDxfId="18" dataDxfId="17">
  <autoFilter ref="A21:C23" xr:uid="{0B65F82F-9BAC-2044-8163-E0AB675714DE}"/>
  <tableColumns count="3">
    <tableColumn id="1" xr3:uid="{44C9704D-385D-A14D-B728-E78ADEEC9BC7}" name="Hospitalized?" dataDxfId="16"/>
    <tableColumn id="2" xr3:uid="{EB753D46-2FAB-914D-8391-14A4879A0CD2}" name="Count" dataDxfId="15"/>
    <tableColumn id="3" xr3:uid="{7EDD0432-07F1-4748-AFF8-8BEB5F8A98F3}" name="Ratio" dataDxfId="14">
      <calculatedColumnFormula>ROUND(B22/(B22+B21),2)*100</calculatedColumnFormula>
    </tableColumn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BFF91A3-67B6-8047-9686-2E32310FF69A}" name="Table7" displayName="Table7" ref="A1:C41" totalsRowShown="0">
  <autoFilter ref="A1:C41" xr:uid="{6BFF91A3-67B6-8047-9686-2E32310FF69A}"/>
  <tableColumns count="3">
    <tableColumn id="1" xr3:uid="{F167DBF1-329C-3445-8739-79638BCB8033}" name="data_year" dataDxfId="13"/>
    <tableColumn id="2" xr3:uid="{0EC20629-673C-ED49-8FD3-75C2BCB8149B}" name="Hospitalized" dataDxfId="12"/>
    <tableColumn id="3" xr3:uid="{F2B3A758-16E8-984B-A1B1-EC8366AE0831}" name="Count" dataDxfId="11"/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07ECBD7-31EA-414E-83F7-589A4C9F06B4}" name="Table10" displayName="Table10" ref="A4:A103" totalsRowShown="0">
  <autoFilter ref="A4:A103" xr:uid="{A07ECBD7-31EA-414E-83F7-589A4C9F06B4}"/>
  <tableColumns count="1">
    <tableColumn id="1" xr3:uid="{998E4897-0FBD-5D47-852C-8380B29E3B6B}" name="Feature List"/>
  </tableColumns>
  <tableStyleInfo name="TableStyleMedium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5CB192C-599A-A349-AEFB-CAE216FF17C1}" name="Table224" displayName="Table224" ref="A1:E26" totalsRowShown="0" headerRowDxfId="10" dataDxfId="9">
  <tableColumns count="5">
    <tableColumn id="1" xr3:uid="{83FD844F-EDA3-BC4D-9028-139F647067F3}" name="Feature Name" dataDxfId="8"/>
    <tableColumn id="7" xr3:uid="{8670C7FE-74A6-804A-BA8D-767B87F90511}" name="Cramers_V Score" dataDxfId="7"/>
    <tableColumn id="4" xr3:uid="{D97EF977-3997-6C46-9944-A86ED9FE15BB}" name="Include for EDA?" dataDxfId="6"/>
    <tableColumn id="9" xr3:uid="{06107CAF-85C0-104D-8383-565425D80176}" name="Include for Modelling" dataDxfId="5"/>
    <tableColumn id="5" xr3:uid="{23109576-43E7-E14E-AB01-167038A76F8D}" name="Include/Exclude Reason" dataDxfId="4"/>
  </tableColumns>
  <tableStyleInfo name="TableStyleMedium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E93BCB7-F3D1-794D-B37E-4B9E87C2F0C3}" name="Table4" displayName="Table4" ref="A1:C14" totalsRowShown="0" dataDxfId="3">
  <autoFilter ref="A1:C14" xr:uid="{6E93BCB7-F3D1-794D-B37E-4B9E87C2F0C3}"/>
  <tableColumns count="3">
    <tableColumn id="1" xr3:uid="{2418A522-5A86-654E-8E23-AA31E4D296E4}" name="Column Name" dataDxfId="2"/>
    <tableColumn id="2" xr3:uid="{5A8678CF-276B-B849-9710-F3B1266548F7}" name="Null/Missing-Unknown?" dataDxfId="1"/>
    <tableColumn id="3" xr3:uid="{DD6B0CF7-6CCA-A148-888E-72E6ECE18895}" name="Treatment Description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2"/>
  <sheetViews>
    <sheetView topLeftCell="A90" workbookViewId="0">
      <selection activeCell="F17" sqref="F17"/>
    </sheetView>
  </sheetViews>
  <sheetFormatPr baseColWidth="10" defaultColWidth="8.83203125" defaultRowHeight="15" x14ac:dyDescent="0.2"/>
  <cols>
    <col min="1" max="1" width="17.6640625" bestFit="1" customWidth="1"/>
    <col min="2" max="2" width="12.1640625" bestFit="1" customWidth="1"/>
    <col min="3" max="3" width="55.5" bestFit="1" customWidth="1"/>
  </cols>
  <sheetData>
    <row r="1" spans="1:3" x14ac:dyDescent="0.2">
      <c r="A1" t="s">
        <v>31</v>
      </c>
      <c r="B1" t="s">
        <v>32</v>
      </c>
      <c r="C1" t="s">
        <v>55</v>
      </c>
    </row>
    <row r="2" spans="1:3" x14ac:dyDescent="0.2">
      <c r="A2" t="s">
        <v>0</v>
      </c>
      <c r="B2" t="s">
        <v>17</v>
      </c>
      <c r="C2" t="s">
        <v>35</v>
      </c>
    </row>
    <row r="3" spans="1:3" x14ac:dyDescent="0.2">
      <c r="A3" t="s">
        <v>1</v>
      </c>
      <c r="B3" t="s">
        <v>18</v>
      </c>
      <c r="C3" t="s">
        <v>29</v>
      </c>
    </row>
    <row r="4" spans="1:3" x14ac:dyDescent="0.2">
      <c r="A4" t="s">
        <v>2</v>
      </c>
      <c r="B4" t="s">
        <v>2</v>
      </c>
      <c r="C4" t="s">
        <v>36</v>
      </c>
    </row>
    <row r="5" spans="1:3" x14ac:dyDescent="0.2">
      <c r="C5" t="s">
        <v>141</v>
      </c>
    </row>
    <row r="6" spans="1:3" x14ac:dyDescent="0.2">
      <c r="C6" t="s">
        <v>142</v>
      </c>
    </row>
    <row r="7" spans="1:3" x14ac:dyDescent="0.2">
      <c r="C7" t="s">
        <v>143</v>
      </c>
    </row>
    <row r="8" spans="1:3" x14ac:dyDescent="0.2">
      <c r="A8" t="s">
        <v>3</v>
      </c>
      <c r="B8" t="s">
        <v>3</v>
      </c>
      <c r="C8" t="s">
        <v>37</v>
      </c>
    </row>
    <row r="9" spans="1:3" x14ac:dyDescent="0.2">
      <c r="C9" t="s">
        <v>134</v>
      </c>
    </row>
    <row r="10" spans="1:3" x14ac:dyDescent="0.2">
      <c r="C10" t="s">
        <v>33</v>
      </c>
    </row>
    <row r="11" spans="1:3" x14ac:dyDescent="0.2">
      <c r="B11" t="s">
        <v>30</v>
      </c>
      <c r="C11" t="s">
        <v>34</v>
      </c>
    </row>
    <row r="12" spans="1:3" x14ac:dyDescent="0.2">
      <c r="A12" t="s">
        <v>4</v>
      </c>
      <c r="B12" t="s">
        <v>4</v>
      </c>
      <c r="C12" t="s">
        <v>38</v>
      </c>
    </row>
    <row r="13" spans="1:3" x14ac:dyDescent="0.2">
      <c r="C13" t="s">
        <v>144</v>
      </c>
    </row>
    <row r="14" spans="1:3" x14ac:dyDescent="0.2">
      <c r="C14" t="s">
        <v>59</v>
      </c>
    </row>
    <row r="15" spans="1:3" x14ac:dyDescent="0.2">
      <c r="C15" t="s">
        <v>60</v>
      </c>
    </row>
    <row r="16" spans="1:3" x14ac:dyDescent="0.2">
      <c r="C16" t="s">
        <v>64</v>
      </c>
    </row>
    <row r="17" spans="1:3" x14ac:dyDescent="0.2">
      <c r="C17" t="s">
        <v>61</v>
      </c>
    </row>
    <row r="18" spans="1:3" x14ac:dyDescent="0.2">
      <c r="C18" t="s">
        <v>62</v>
      </c>
    </row>
    <row r="19" spans="1:3" x14ac:dyDescent="0.2">
      <c r="C19" t="s">
        <v>63</v>
      </c>
    </row>
    <row r="20" spans="1:3" ht="16" x14ac:dyDescent="0.2">
      <c r="A20" t="s">
        <v>5</v>
      </c>
      <c r="B20" t="s">
        <v>19</v>
      </c>
      <c r="C20" s="1" t="s">
        <v>159</v>
      </c>
    </row>
    <row r="21" spans="1:3" x14ac:dyDescent="0.2">
      <c r="A21" t="s">
        <v>6</v>
      </c>
      <c r="B21" t="s">
        <v>20</v>
      </c>
      <c r="C21" t="s">
        <v>39</v>
      </c>
    </row>
    <row r="22" spans="1:3" x14ac:dyDescent="0.2">
      <c r="C22" t="s">
        <v>70</v>
      </c>
    </row>
    <row r="23" spans="1:3" x14ac:dyDescent="0.2">
      <c r="C23" t="s">
        <v>71</v>
      </c>
    </row>
    <row r="24" spans="1:3" x14ac:dyDescent="0.2">
      <c r="C24" t="s">
        <v>72</v>
      </c>
    </row>
    <row r="25" spans="1:3" x14ac:dyDescent="0.2">
      <c r="C25" t="s">
        <v>73</v>
      </c>
    </row>
    <row r="26" spans="1:3" x14ac:dyDescent="0.2">
      <c r="C26" t="s">
        <v>74</v>
      </c>
    </row>
    <row r="27" spans="1:3" x14ac:dyDescent="0.2">
      <c r="C27" t="s">
        <v>75</v>
      </c>
    </row>
    <row r="28" spans="1:3" x14ac:dyDescent="0.2">
      <c r="C28" t="s">
        <v>76</v>
      </c>
    </row>
    <row r="29" spans="1:3" x14ac:dyDescent="0.2">
      <c r="C29" t="s">
        <v>77</v>
      </c>
    </row>
    <row r="30" spans="1:3" x14ac:dyDescent="0.2">
      <c r="C30" t="s">
        <v>78</v>
      </c>
    </row>
    <row r="31" spans="1:3" x14ac:dyDescent="0.2">
      <c r="C31" t="s">
        <v>79</v>
      </c>
    </row>
    <row r="32" spans="1:3" x14ac:dyDescent="0.2">
      <c r="C32" t="s">
        <v>80</v>
      </c>
    </row>
    <row r="33" spans="3:3" x14ac:dyDescent="0.2">
      <c r="C33" t="s">
        <v>81</v>
      </c>
    </row>
    <row r="34" spans="3:3" x14ac:dyDescent="0.2">
      <c r="C34" t="s">
        <v>82</v>
      </c>
    </row>
    <row r="35" spans="3:3" x14ac:dyDescent="0.2">
      <c r="C35" t="s">
        <v>161</v>
      </c>
    </row>
    <row r="36" spans="3:3" x14ac:dyDescent="0.2">
      <c r="C36" t="s">
        <v>83</v>
      </c>
    </row>
    <row r="37" spans="3:3" x14ac:dyDescent="0.2">
      <c r="C37" t="s">
        <v>84</v>
      </c>
    </row>
    <row r="38" spans="3:3" x14ac:dyDescent="0.2">
      <c r="C38" t="s">
        <v>85</v>
      </c>
    </row>
    <row r="39" spans="3:3" x14ac:dyDescent="0.2">
      <c r="C39" t="s">
        <v>86</v>
      </c>
    </row>
    <row r="40" spans="3:3" x14ac:dyDescent="0.2">
      <c r="C40" t="s">
        <v>87</v>
      </c>
    </row>
    <row r="41" spans="3:3" x14ac:dyDescent="0.2">
      <c r="C41" t="s">
        <v>88</v>
      </c>
    </row>
    <row r="42" spans="3:3" x14ac:dyDescent="0.2">
      <c r="C42" t="s">
        <v>89</v>
      </c>
    </row>
    <row r="43" spans="3:3" x14ac:dyDescent="0.2">
      <c r="C43" t="s">
        <v>162</v>
      </c>
    </row>
    <row r="44" spans="3:3" x14ac:dyDescent="0.2">
      <c r="C44" t="s">
        <v>90</v>
      </c>
    </row>
    <row r="45" spans="3:3" x14ac:dyDescent="0.2">
      <c r="C45" t="s">
        <v>91</v>
      </c>
    </row>
    <row r="46" spans="3:3" x14ac:dyDescent="0.2">
      <c r="C46" t="s">
        <v>92</v>
      </c>
    </row>
    <row r="47" spans="3:3" ht="16" x14ac:dyDescent="0.2">
      <c r="C47" s="1" t="s">
        <v>163</v>
      </c>
    </row>
    <row r="48" spans="3:3" x14ac:dyDescent="0.2">
      <c r="C48" t="s">
        <v>164</v>
      </c>
    </row>
    <row r="49" spans="1:3" x14ac:dyDescent="0.2">
      <c r="C49" t="s">
        <v>93</v>
      </c>
    </row>
    <row r="50" spans="1:3" x14ac:dyDescent="0.2">
      <c r="C50" t="s">
        <v>94</v>
      </c>
    </row>
    <row r="51" spans="1:3" x14ac:dyDescent="0.2">
      <c r="C51" t="s">
        <v>95</v>
      </c>
    </row>
    <row r="52" spans="1:3" x14ac:dyDescent="0.2">
      <c r="A52" t="s">
        <v>7</v>
      </c>
      <c r="B52" t="s">
        <v>21</v>
      </c>
      <c r="C52" t="s">
        <v>40</v>
      </c>
    </row>
    <row r="53" spans="1:3" x14ac:dyDescent="0.2">
      <c r="C53" t="s">
        <v>96</v>
      </c>
    </row>
    <row r="54" spans="1:3" x14ac:dyDescent="0.2">
      <c r="C54" t="s">
        <v>97</v>
      </c>
    </row>
    <row r="55" spans="1:3" x14ac:dyDescent="0.2">
      <c r="C55" t="s">
        <v>100</v>
      </c>
    </row>
    <row r="56" spans="1:3" x14ac:dyDescent="0.2">
      <c r="C56" t="s">
        <v>101</v>
      </c>
    </row>
    <row r="57" spans="1:3" x14ac:dyDescent="0.2">
      <c r="C57" t="s">
        <v>102</v>
      </c>
    </row>
    <row r="58" spans="1:3" x14ac:dyDescent="0.2">
      <c r="C58" t="s">
        <v>103</v>
      </c>
    </row>
    <row r="59" spans="1:3" x14ac:dyDescent="0.2">
      <c r="C59" t="s">
        <v>98</v>
      </c>
    </row>
    <row r="60" spans="1:3" x14ac:dyDescent="0.2">
      <c r="C60" t="s">
        <v>99</v>
      </c>
    </row>
    <row r="61" spans="1:3" x14ac:dyDescent="0.2">
      <c r="C61" t="s">
        <v>104</v>
      </c>
    </row>
    <row r="62" spans="1:3" x14ac:dyDescent="0.2">
      <c r="C62" t="s">
        <v>105</v>
      </c>
    </row>
    <row r="63" spans="1:3" x14ac:dyDescent="0.2">
      <c r="C63" t="s">
        <v>106</v>
      </c>
    </row>
    <row r="64" spans="1:3" x14ac:dyDescent="0.2">
      <c r="C64" t="s">
        <v>107</v>
      </c>
    </row>
    <row r="65" spans="3:3" x14ac:dyDescent="0.2">
      <c r="C65" t="s">
        <v>108</v>
      </c>
    </row>
    <row r="66" spans="3:3" x14ac:dyDescent="0.2">
      <c r="C66" t="s">
        <v>109</v>
      </c>
    </row>
    <row r="67" spans="3:3" x14ac:dyDescent="0.2">
      <c r="C67" t="s">
        <v>110</v>
      </c>
    </row>
    <row r="68" spans="3:3" x14ac:dyDescent="0.2">
      <c r="C68" t="s">
        <v>111</v>
      </c>
    </row>
    <row r="69" spans="3:3" x14ac:dyDescent="0.2">
      <c r="C69" t="s">
        <v>112</v>
      </c>
    </row>
    <row r="70" spans="3:3" x14ac:dyDescent="0.2">
      <c r="C70" t="s">
        <v>113</v>
      </c>
    </row>
    <row r="71" spans="3:3" x14ac:dyDescent="0.2">
      <c r="C71" t="s">
        <v>114</v>
      </c>
    </row>
    <row r="72" spans="3:3" x14ac:dyDescent="0.2">
      <c r="C72" t="s">
        <v>115</v>
      </c>
    </row>
    <row r="73" spans="3:3" x14ac:dyDescent="0.2">
      <c r="C73" t="s">
        <v>116</v>
      </c>
    </row>
    <row r="74" spans="3:3" x14ac:dyDescent="0.2">
      <c r="C74" t="s">
        <v>117</v>
      </c>
    </row>
    <row r="75" spans="3:3" x14ac:dyDescent="0.2">
      <c r="C75" t="s">
        <v>118</v>
      </c>
    </row>
    <row r="76" spans="3:3" x14ac:dyDescent="0.2">
      <c r="C76" t="s">
        <v>119</v>
      </c>
    </row>
    <row r="77" spans="3:3" x14ac:dyDescent="0.2">
      <c r="C77" t="s">
        <v>120</v>
      </c>
    </row>
    <row r="78" spans="3:3" x14ac:dyDescent="0.2">
      <c r="C78" t="s">
        <v>121</v>
      </c>
    </row>
    <row r="79" spans="3:3" x14ac:dyDescent="0.2">
      <c r="C79" t="s">
        <v>122</v>
      </c>
    </row>
    <row r="80" spans="3:3" x14ac:dyDescent="0.2">
      <c r="C80" t="s">
        <v>123</v>
      </c>
    </row>
    <row r="81" spans="1:3" x14ac:dyDescent="0.2">
      <c r="C81" t="s">
        <v>124</v>
      </c>
    </row>
    <row r="82" spans="1:3" x14ac:dyDescent="0.2">
      <c r="C82" t="s">
        <v>125</v>
      </c>
    </row>
    <row r="83" spans="1:3" ht="16" x14ac:dyDescent="0.2">
      <c r="A83" s="2" t="s">
        <v>8</v>
      </c>
      <c r="B83" s="2" t="s">
        <v>22</v>
      </c>
      <c r="C83" s="3" t="s">
        <v>160</v>
      </c>
    </row>
    <row r="84" spans="1:3" ht="16" x14ac:dyDescent="0.2">
      <c r="A84" s="2" t="s">
        <v>9</v>
      </c>
      <c r="B84" s="2" t="s">
        <v>23</v>
      </c>
      <c r="C84" s="3" t="s">
        <v>9</v>
      </c>
    </row>
    <row r="85" spans="1:3" x14ac:dyDescent="0.2">
      <c r="C85" t="s">
        <v>126</v>
      </c>
    </row>
    <row r="86" spans="1:3" x14ac:dyDescent="0.2">
      <c r="C86" t="s">
        <v>127</v>
      </c>
    </row>
    <row r="87" spans="1:3" x14ac:dyDescent="0.2">
      <c r="C87" t="s">
        <v>128</v>
      </c>
    </row>
    <row r="88" spans="1:3" x14ac:dyDescent="0.2">
      <c r="C88" t="s">
        <v>129</v>
      </c>
    </row>
    <row r="89" spans="1:3" x14ac:dyDescent="0.2">
      <c r="C89" t="s">
        <v>130</v>
      </c>
    </row>
    <row r="90" spans="1:3" x14ac:dyDescent="0.2">
      <c r="C90" t="s">
        <v>131</v>
      </c>
    </row>
    <row r="91" spans="1:3" x14ac:dyDescent="0.2">
      <c r="C91" t="s">
        <v>132</v>
      </c>
    </row>
    <row r="92" spans="1:3" x14ac:dyDescent="0.2">
      <c r="A92" t="s">
        <v>10</v>
      </c>
      <c r="B92" t="s">
        <v>24</v>
      </c>
      <c r="C92" t="s">
        <v>133</v>
      </c>
    </row>
    <row r="93" spans="1:3" x14ac:dyDescent="0.2">
      <c r="C93" t="s">
        <v>134</v>
      </c>
    </row>
    <row r="94" spans="1:3" x14ac:dyDescent="0.2">
      <c r="C94" t="s">
        <v>56</v>
      </c>
    </row>
    <row r="95" spans="1:3" x14ac:dyDescent="0.2">
      <c r="C95" t="s">
        <v>135</v>
      </c>
    </row>
    <row r="96" spans="1:3" x14ac:dyDescent="0.2">
      <c r="C96" t="s">
        <v>136</v>
      </c>
    </row>
    <row r="97" spans="1:3" x14ac:dyDescent="0.2">
      <c r="C97" t="s">
        <v>137</v>
      </c>
    </row>
    <row r="98" spans="1:3" x14ac:dyDescent="0.2">
      <c r="C98" t="s">
        <v>138</v>
      </c>
    </row>
    <row r="99" spans="1:3" x14ac:dyDescent="0.2">
      <c r="C99" t="s">
        <v>57</v>
      </c>
    </row>
    <row r="100" spans="1:3" x14ac:dyDescent="0.2">
      <c r="C100" t="s">
        <v>58</v>
      </c>
    </row>
    <row r="101" spans="1:3" x14ac:dyDescent="0.2">
      <c r="C101" t="s">
        <v>139</v>
      </c>
    </row>
    <row r="102" spans="1:3" x14ac:dyDescent="0.2">
      <c r="A102" t="s">
        <v>11</v>
      </c>
      <c r="B102" t="s">
        <v>25</v>
      </c>
      <c r="C102" t="s">
        <v>140</v>
      </c>
    </row>
    <row r="103" spans="1:3" x14ac:dyDescent="0.2">
      <c r="C103" t="s">
        <v>146</v>
      </c>
    </row>
    <row r="104" spans="1:3" x14ac:dyDescent="0.2">
      <c r="C104" t="s">
        <v>147</v>
      </c>
    </row>
    <row r="105" spans="1:3" x14ac:dyDescent="0.2">
      <c r="C105" t="s">
        <v>148</v>
      </c>
    </row>
    <row r="106" spans="1:3" x14ac:dyDescent="0.2">
      <c r="C106" t="s">
        <v>149</v>
      </c>
    </row>
    <row r="107" spans="1:3" x14ac:dyDescent="0.2">
      <c r="A107" t="s">
        <v>12</v>
      </c>
      <c r="B107" t="s">
        <v>26</v>
      </c>
      <c r="C107" t="s">
        <v>151</v>
      </c>
    </row>
    <row r="108" spans="1:3" x14ac:dyDescent="0.2">
      <c r="A108" t="s">
        <v>13</v>
      </c>
      <c r="B108" t="s">
        <v>27</v>
      </c>
      <c r="C108" t="s">
        <v>152</v>
      </c>
    </row>
    <row r="109" spans="1:3" x14ac:dyDescent="0.2">
      <c r="A109" t="s">
        <v>46</v>
      </c>
      <c r="B109" t="s">
        <v>47</v>
      </c>
      <c r="C109" t="s">
        <v>154</v>
      </c>
    </row>
    <row r="110" spans="1:3" x14ac:dyDescent="0.2">
      <c r="A110" t="s">
        <v>14</v>
      </c>
      <c r="B110" t="s">
        <v>14</v>
      </c>
      <c r="C110" t="s">
        <v>155</v>
      </c>
    </row>
    <row r="111" spans="1:3" x14ac:dyDescent="0.2">
      <c r="A111" t="s">
        <v>15</v>
      </c>
      <c r="B111" t="s">
        <v>15</v>
      </c>
      <c r="C111" t="s">
        <v>156</v>
      </c>
    </row>
    <row r="112" spans="1:3" x14ac:dyDescent="0.2">
      <c r="A112" t="s">
        <v>16</v>
      </c>
      <c r="B112" t="s">
        <v>28</v>
      </c>
      <c r="C112" t="s">
        <v>157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A5DD6-45C0-7149-8A1C-786742D892F5}">
  <dimension ref="A1:B148"/>
  <sheetViews>
    <sheetView workbookViewId="0">
      <selection activeCell="E20" sqref="E20"/>
    </sheetView>
  </sheetViews>
  <sheetFormatPr baseColWidth="10" defaultRowHeight="15" x14ac:dyDescent="0.2"/>
  <cols>
    <col min="1" max="1" width="18.83203125" bestFit="1" customWidth="1"/>
    <col min="2" max="2" width="30.83203125" bestFit="1" customWidth="1"/>
  </cols>
  <sheetData>
    <row r="1" spans="1:2" x14ac:dyDescent="0.2">
      <c r="A1" t="s">
        <v>232</v>
      </c>
      <c r="B1" t="s">
        <v>233</v>
      </c>
    </row>
    <row r="2" spans="1:2" x14ac:dyDescent="0.2">
      <c r="A2">
        <v>574</v>
      </c>
      <c r="B2">
        <v>5016</v>
      </c>
    </row>
    <row r="3" spans="1:2" x14ac:dyDescent="0.2">
      <c r="A3">
        <v>897</v>
      </c>
      <c r="B3">
        <v>5016</v>
      </c>
    </row>
    <row r="4" spans="1:2" x14ac:dyDescent="0.2">
      <c r="A4">
        <v>899</v>
      </c>
      <c r="B4">
        <v>5016</v>
      </c>
    </row>
    <row r="5" spans="1:2" x14ac:dyDescent="0.2">
      <c r="A5">
        <v>1543</v>
      </c>
      <c r="B5">
        <v>1552</v>
      </c>
    </row>
    <row r="6" spans="1:2" x14ac:dyDescent="0.2">
      <c r="A6">
        <v>1545</v>
      </c>
      <c r="B6">
        <v>1552</v>
      </c>
    </row>
    <row r="7" spans="1:2" x14ac:dyDescent="0.2">
      <c r="A7">
        <v>5004</v>
      </c>
      <c r="B7">
        <v>1395</v>
      </c>
    </row>
    <row r="8" spans="1:2" x14ac:dyDescent="0.2">
      <c r="A8">
        <v>1527</v>
      </c>
      <c r="B8" s="21" t="s">
        <v>234</v>
      </c>
    </row>
    <row r="9" spans="1:2" x14ac:dyDescent="0.2">
      <c r="A9">
        <v>3215</v>
      </c>
      <c r="B9">
        <v>5046</v>
      </c>
    </row>
    <row r="10" spans="1:2" x14ac:dyDescent="0.2">
      <c r="A10">
        <v>1329</v>
      </c>
      <c r="B10">
        <v>5023</v>
      </c>
    </row>
    <row r="11" spans="1:2" x14ac:dyDescent="0.2">
      <c r="A11">
        <v>5042</v>
      </c>
      <c r="B11">
        <v>5022</v>
      </c>
    </row>
    <row r="12" spans="1:2" x14ac:dyDescent="0.2">
      <c r="A12">
        <v>5017</v>
      </c>
      <c r="B12" t="s">
        <v>235</v>
      </c>
    </row>
    <row r="13" spans="1:2" x14ac:dyDescent="0.2">
      <c r="A13">
        <v>5019</v>
      </c>
      <c r="B13" t="s">
        <v>235</v>
      </c>
    </row>
    <row r="14" spans="1:2" x14ac:dyDescent="0.2">
      <c r="A14">
        <v>5020</v>
      </c>
      <c r="B14" t="s">
        <v>235</v>
      </c>
    </row>
    <row r="15" spans="1:2" x14ac:dyDescent="0.2">
      <c r="A15">
        <v>5021</v>
      </c>
      <c r="B15" t="s">
        <v>235</v>
      </c>
    </row>
    <row r="16" spans="1:2" x14ac:dyDescent="0.2">
      <c r="A16">
        <v>5043</v>
      </c>
      <c r="B16" t="s">
        <v>235</v>
      </c>
    </row>
    <row r="17" spans="1:2" x14ac:dyDescent="0.2">
      <c r="A17">
        <v>5022</v>
      </c>
      <c r="B17" t="s">
        <v>236</v>
      </c>
    </row>
    <row r="18" spans="1:2" x14ac:dyDescent="0.2">
      <c r="A18">
        <v>5023</v>
      </c>
      <c r="B18" t="s">
        <v>236</v>
      </c>
    </row>
    <row r="19" spans="1:2" x14ac:dyDescent="0.2">
      <c r="A19">
        <v>5024</v>
      </c>
      <c r="B19" t="s">
        <v>236</v>
      </c>
    </row>
    <row r="20" spans="1:2" x14ac:dyDescent="0.2">
      <c r="A20">
        <v>5025</v>
      </c>
      <c r="B20" t="s">
        <v>236</v>
      </c>
    </row>
    <row r="21" spans="1:2" x14ac:dyDescent="0.2">
      <c r="A21">
        <v>5045</v>
      </c>
      <c r="B21" t="s">
        <v>237</v>
      </c>
    </row>
    <row r="22" spans="1:2" x14ac:dyDescent="0.2">
      <c r="A22">
        <v>5046</v>
      </c>
      <c r="B22" t="s">
        <v>237</v>
      </c>
    </row>
    <row r="54" spans="1:1" ht="16" x14ac:dyDescent="0.2">
      <c r="A54" s="20"/>
    </row>
    <row r="55" spans="1:1" ht="16" x14ac:dyDescent="0.2">
      <c r="A55" s="20"/>
    </row>
    <row r="56" spans="1:1" ht="16" x14ac:dyDescent="0.2">
      <c r="A56" s="20"/>
    </row>
    <row r="57" spans="1:1" ht="16" x14ac:dyDescent="0.2">
      <c r="A57" s="20"/>
    </row>
    <row r="58" spans="1:1" ht="16" x14ac:dyDescent="0.2">
      <c r="A58" s="20"/>
    </row>
    <row r="59" spans="1:1" ht="16" x14ac:dyDescent="0.2">
      <c r="A59" s="20"/>
    </row>
    <row r="60" spans="1:1" ht="16" x14ac:dyDescent="0.2">
      <c r="A60" s="20"/>
    </row>
    <row r="61" spans="1:1" ht="16" x14ac:dyDescent="0.2">
      <c r="A61" s="20"/>
    </row>
    <row r="62" spans="1:1" ht="16" x14ac:dyDescent="0.2">
      <c r="A62" s="20"/>
    </row>
    <row r="63" spans="1:1" ht="16" x14ac:dyDescent="0.2">
      <c r="A63" s="20"/>
    </row>
    <row r="64" spans="1:1" ht="16" x14ac:dyDescent="0.2">
      <c r="A64" s="20"/>
    </row>
    <row r="65" spans="1:1" ht="16" x14ac:dyDescent="0.2">
      <c r="A65" s="20"/>
    </row>
    <row r="66" spans="1:1" ht="16" x14ac:dyDescent="0.2">
      <c r="A66" s="20"/>
    </row>
    <row r="67" spans="1:1" ht="16" x14ac:dyDescent="0.2">
      <c r="A67" s="20"/>
    </row>
    <row r="68" spans="1:1" ht="16" x14ac:dyDescent="0.2">
      <c r="A68" s="20"/>
    </row>
    <row r="69" spans="1:1" ht="16" x14ac:dyDescent="0.2">
      <c r="A69" s="20"/>
    </row>
    <row r="70" spans="1:1" ht="16" x14ac:dyDescent="0.2">
      <c r="A70" s="20"/>
    </row>
    <row r="71" spans="1:1" ht="16" x14ac:dyDescent="0.2">
      <c r="A71" s="20"/>
    </row>
    <row r="72" spans="1:1" ht="16" x14ac:dyDescent="0.2">
      <c r="A72" s="20"/>
    </row>
    <row r="73" spans="1:1" ht="16" x14ac:dyDescent="0.2">
      <c r="A73" s="20"/>
    </row>
    <row r="74" spans="1:1" ht="16" x14ac:dyDescent="0.2">
      <c r="A74" s="20"/>
    </row>
    <row r="75" spans="1:1" ht="16" x14ac:dyDescent="0.2">
      <c r="A75" s="20"/>
    </row>
    <row r="76" spans="1:1" ht="16" x14ac:dyDescent="0.2">
      <c r="A76" s="20"/>
    </row>
    <row r="77" spans="1:1" ht="16" x14ac:dyDescent="0.2">
      <c r="A77" s="20"/>
    </row>
    <row r="78" spans="1:1" ht="16" x14ac:dyDescent="0.2">
      <c r="A78" s="20"/>
    </row>
    <row r="79" spans="1:1" ht="16" x14ac:dyDescent="0.2">
      <c r="A79" s="20"/>
    </row>
    <row r="80" spans="1:1" ht="16" x14ac:dyDescent="0.2">
      <c r="A80" s="20"/>
    </row>
    <row r="81" spans="1:1" ht="16" x14ac:dyDescent="0.2">
      <c r="A81" s="20"/>
    </row>
    <row r="82" spans="1:1" ht="16" x14ac:dyDescent="0.2">
      <c r="A82" s="20"/>
    </row>
    <row r="83" spans="1:1" ht="16" x14ac:dyDescent="0.2">
      <c r="A83" s="20"/>
    </row>
    <row r="84" spans="1:1" ht="16" x14ac:dyDescent="0.2">
      <c r="A84" s="20"/>
    </row>
    <row r="85" spans="1:1" ht="16" x14ac:dyDescent="0.2">
      <c r="A85" s="20"/>
    </row>
    <row r="86" spans="1:1" ht="16" x14ac:dyDescent="0.2">
      <c r="A86" s="20"/>
    </row>
    <row r="87" spans="1:1" ht="16" x14ac:dyDescent="0.2">
      <c r="A87" s="20"/>
    </row>
    <row r="88" spans="1:1" ht="16" x14ac:dyDescent="0.2">
      <c r="A88" s="20"/>
    </row>
    <row r="89" spans="1:1" ht="16" x14ac:dyDescent="0.2">
      <c r="A89" s="20"/>
    </row>
    <row r="90" spans="1:1" ht="16" x14ac:dyDescent="0.2">
      <c r="A90" s="20"/>
    </row>
    <row r="91" spans="1:1" ht="16" x14ac:dyDescent="0.2">
      <c r="A91" s="20"/>
    </row>
    <row r="92" spans="1:1" ht="16" x14ac:dyDescent="0.2">
      <c r="A92" s="20"/>
    </row>
    <row r="93" spans="1:1" ht="16" x14ac:dyDescent="0.2">
      <c r="A93" s="20"/>
    </row>
    <row r="94" spans="1:1" ht="16" x14ac:dyDescent="0.2">
      <c r="A94" s="20"/>
    </row>
    <row r="95" spans="1:1" ht="16" x14ac:dyDescent="0.2">
      <c r="A95" s="20"/>
    </row>
    <row r="96" spans="1:1" ht="16" x14ac:dyDescent="0.2">
      <c r="A96" s="20"/>
    </row>
    <row r="97" spans="1:1" ht="16" x14ac:dyDescent="0.2">
      <c r="A97" s="20"/>
    </row>
    <row r="98" spans="1:1" ht="16" x14ac:dyDescent="0.2">
      <c r="A98" s="20"/>
    </row>
    <row r="99" spans="1:1" ht="16" x14ac:dyDescent="0.2">
      <c r="A99" s="20"/>
    </row>
    <row r="100" spans="1:1" ht="16" x14ac:dyDescent="0.2">
      <c r="A100" s="20"/>
    </row>
    <row r="101" spans="1:1" ht="16" x14ac:dyDescent="0.2">
      <c r="A101" s="20"/>
    </row>
    <row r="102" spans="1:1" ht="16" x14ac:dyDescent="0.2">
      <c r="A102" s="20"/>
    </row>
    <row r="103" spans="1:1" ht="16" x14ac:dyDescent="0.2">
      <c r="A103" s="20"/>
    </row>
    <row r="104" spans="1:1" ht="16" x14ac:dyDescent="0.2">
      <c r="A104" s="20"/>
    </row>
    <row r="105" spans="1:1" ht="16" x14ac:dyDescent="0.2">
      <c r="A105" s="20"/>
    </row>
    <row r="106" spans="1:1" ht="16" x14ac:dyDescent="0.2">
      <c r="A106" s="20"/>
    </row>
    <row r="107" spans="1:1" ht="16" x14ac:dyDescent="0.2">
      <c r="A107" s="20"/>
    </row>
    <row r="108" spans="1:1" ht="16" x14ac:dyDescent="0.2">
      <c r="A108" s="20"/>
    </row>
    <row r="109" spans="1:1" ht="16" x14ac:dyDescent="0.2">
      <c r="A109" s="20"/>
    </row>
    <row r="110" spans="1:1" ht="16" x14ac:dyDescent="0.2">
      <c r="A110" s="20"/>
    </row>
    <row r="111" spans="1:1" ht="16" x14ac:dyDescent="0.2">
      <c r="A111" s="20"/>
    </row>
    <row r="112" spans="1:1" ht="16" x14ac:dyDescent="0.2">
      <c r="A112" s="20"/>
    </row>
    <row r="113" spans="1:1" ht="16" x14ac:dyDescent="0.2">
      <c r="A113" s="20"/>
    </row>
    <row r="114" spans="1:1" ht="16" x14ac:dyDescent="0.2">
      <c r="A114" s="20"/>
    </row>
    <row r="115" spans="1:1" ht="16" x14ac:dyDescent="0.2">
      <c r="A115" s="20"/>
    </row>
    <row r="116" spans="1:1" ht="16" x14ac:dyDescent="0.2">
      <c r="A116" s="20"/>
    </row>
    <row r="117" spans="1:1" ht="16" x14ac:dyDescent="0.2">
      <c r="A117" s="20"/>
    </row>
    <row r="118" spans="1:1" ht="16" x14ac:dyDescent="0.2">
      <c r="A118" s="20"/>
    </row>
    <row r="119" spans="1:1" ht="16" x14ac:dyDescent="0.2">
      <c r="A119" s="20"/>
    </row>
    <row r="120" spans="1:1" ht="16" x14ac:dyDescent="0.2">
      <c r="A120" s="20"/>
    </row>
    <row r="121" spans="1:1" ht="16" x14ac:dyDescent="0.2">
      <c r="A121" s="20"/>
    </row>
    <row r="122" spans="1:1" ht="16" x14ac:dyDescent="0.2">
      <c r="A122" s="20"/>
    </row>
    <row r="123" spans="1:1" ht="16" x14ac:dyDescent="0.2">
      <c r="A123" s="20"/>
    </row>
    <row r="124" spans="1:1" ht="16" x14ac:dyDescent="0.2">
      <c r="A124" s="20"/>
    </row>
    <row r="125" spans="1:1" ht="16" x14ac:dyDescent="0.2">
      <c r="A125" s="20"/>
    </row>
    <row r="126" spans="1:1" ht="16" x14ac:dyDescent="0.2">
      <c r="A126" s="20"/>
    </row>
    <row r="127" spans="1:1" ht="16" x14ac:dyDescent="0.2">
      <c r="A127" s="20"/>
    </row>
    <row r="128" spans="1:1" ht="16" x14ac:dyDescent="0.2">
      <c r="A128" s="20"/>
    </row>
    <row r="129" spans="1:1" ht="16" x14ac:dyDescent="0.2">
      <c r="A129" s="20"/>
    </row>
    <row r="130" spans="1:1" ht="16" x14ac:dyDescent="0.2">
      <c r="A130" s="20"/>
    </row>
    <row r="131" spans="1:1" ht="16" x14ac:dyDescent="0.2">
      <c r="A131" s="20"/>
    </row>
    <row r="132" spans="1:1" ht="16" x14ac:dyDescent="0.2">
      <c r="A132" s="20"/>
    </row>
    <row r="133" spans="1:1" ht="16" x14ac:dyDescent="0.2">
      <c r="A133" s="20"/>
    </row>
    <row r="134" spans="1:1" ht="16" x14ac:dyDescent="0.2">
      <c r="A134" s="20"/>
    </row>
    <row r="135" spans="1:1" ht="16" x14ac:dyDescent="0.2">
      <c r="A135" s="20"/>
    </row>
    <row r="136" spans="1:1" ht="16" x14ac:dyDescent="0.2">
      <c r="A136" s="20"/>
    </row>
    <row r="137" spans="1:1" ht="16" x14ac:dyDescent="0.2">
      <c r="A137" s="20"/>
    </row>
    <row r="138" spans="1:1" ht="16" x14ac:dyDescent="0.2">
      <c r="A138" s="20"/>
    </row>
    <row r="139" spans="1:1" ht="16" x14ac:dyDescent="0.2">
      <c r="A139" s="20"/>
    </row>
    <row r="140" spans="1:1" ht="16" x14ac:dyDescent="0.2">
      <c r="A140" s="20"/>
    </row>
    <row r="141" spans="1:1" ht="16" x14ac:dyDescent="0.2">
      <c r="A141" s="20"/>
    </row>
    <row r="142" spans="1:1" ht="16" x14ac:dyDescent="0.2">
      <c r="A142" s="20"/>
    </row>
    <row r="143" spans="1:1" ht="16" x14ac:dyDescent="0.2">
      <c r="A143" s="20"/>
    </row>
    <row r="144" spans="1:1" ht="16" x14ac:dyDescent="0.2">
      <c r="A144" s="20"/>
    </row>
    <row r="145" spans="1:1" ht="16" x14ac:dyDescent="0.2">
      <c r="A145" s="20"/>
    </row>
    <row r="146" spans="1:1" ht="16" x14ac:dyDescent="0.2">
      <c r="A146" s="20"/>
    </row>
    <row r="147" spans="1:1" ht="16" x14ac:dyDescent="0.2">
      <c r="A147" s="20"/>
    </row>
    <row r="148" spans="1:1" ht="16" x14ac:dyDescent="0.2">
      <c r="A148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CC69E-C8D5-224A-AD75-0E20BAE20ADE}">
  <dimension ref="A1:E48"/>
  <sheetViews>
    <sheetView topLeftCell="A7" zoomScale="97" zoomScaleNormal="97" workbookViewId="0">
      <selection activeCell="E46" sqref="E46"/>
    </sheetView>
  </sheetViews>
  <sheetFormatPr baseColWidth="10" defaultRowHeight="15" x14ac:dyDescent="0.2"/>
  <cols>
    <col min="1" max="1" width="11.83203125" customWidth="1"/>
    <col min="2" max="2" width="31.5" style="23" customWidth="1"/>
    <col min="3" max="3" width="12" bestFit="1" customWidth="1"/>
    <col min="4" max="4" width="38.33203125" style="1" customWidth="1"/>
  </cols>
  <sheetData>
    <row r="1" spans="1:5" ht="16" x14ac:dyDescent="0.2">
      <c r="A1" t="s">
        <v>249</v>
      </c>
      <c r="B1" s="23" t="s">
        <v>261</v>
      </c>
      <c r="C1" t="s">
        <v>250</v>
      </c>
      <c r="D1" s="1" t="s">
        <v>251</v>
      </c>
      <c r="E1" t="s">
        <v>273</v>
      </c>
    </row>
    <row r="2" spans="1:5" ht="16" x14ac:dyDescent="0.2">
      <c r="A2" s="22">
        <v>394</v>
      </c>
      <c r="B2" s="23">
        <v>394</v>
      </c>
      <c r="C2" t="s">
        <v>239</v>
      </c>
      <c r="D2" s="1" t="s">
        <v>262</v>
      </c>
      <c r="E2" t="s">
        <v>196</v>
      </c>
    </row>
    <row r="3" spans="1:5" ht="16" x14ac:dyDescent="0.2">
      <c r="A3">
        <v>556</v>
      </c>
      <c r="B3" s="23">
        <v>556</v>
      </c>
      <c r="C3" t="s">
        <v>240</v>
      </c>
      <c r="D3" s="1" t="s">
        <v>253</v>
      </c>
      <c r="E3" t="s">
        <v>196</v>
      </c>
    </row>
    <row r="4" spans="1:5" ht="16" x14ac:dyDescent="0.2">
      <c r="A4">
        <v>569</v>
      </c>
      <c r="B4" s="23" t="s">
        <v>263</v>
      </c>
      <c r="C4" t="s">
        <v>240</v>
      </c>
      <c r="D4" s="1" t="s">
        <v>252</v>
      </c>
      <c r="E4" t="s">
        <v>197</v>
      </c>
    </row>
    <row r="5" spans="1:5" ht="16" x14ac:dyDescent="0.2">
      <c r="A5">
        <v>574</v>
      </c>
      <c r="B5" s="23">
        <v>5016</v>
      </c>
      <c r="D5" s="1" t="s">
        <v>264</v>
      </c>
      <c r="E5" t="s">
        <v>197</v>
      </c>
    </row>
    <row r="6" spans="1:5" ht="48" x14ac:dyDescent="0.2">
      <c r="A6">
        <v>876</v>
      </c>
      <c r="B6" s="23" t="s">
        <v>265</v>
      </c>
      <c r="C6" t="s">
        <v>238</v>
      </c>
      <c r="D6" s="1" t="s">
        <v>260</v>
      </c>
      <c r="E6" t="s">
        <v>197</v>
      </c>
    </row>
    <row r="7" spans="1:5" x14ac:dyDescent="0.2">
      <c r="A7">
        <v>897</v>
      </c>
      <c r="B7" s="23">
        <v>5016</v>
      </c>
      <c r="E7" t="s">
        <v>197</v>
      </c>
    </row>
    <row r="8" spans="1:5" x14ac:dyDescent="0.2">
      <c r="A8">
        <v>899</v>
      </c>
      <c r="B8" s="23">
        <v>5016</v>
      </c>
      <c r="E8" t="s">
        <v>197</v>
      </c>
    </row>
    <row r="9" spans="1:5" ht="80" x14ac:dyDescent="0.2">
      <c r="A9">
        <v>1132</v>
      </c>
      <c r="B9" s="23" t="s">
        <v>274</v>
      </c>
      <c r="C9" t="s">
        <v>238</v>
      </c>
      <c r="D9" s="1" t="s">
        <v>268</v>
      </c>
      <c r="E9" t="s">
        <v>197</v>
      </c>
    </row>
    <row r="10" spans="1:5" ht="16" x14ac:dyDescent="0.2">
      <c r="A10">
        <v>1145</v>
      </c>
      <c r="B10" s="23" t="s">
        <v>266</v>
      </c>
      <c r="C10" t="s">
        <v>239</v>
      </c>
      <c r="D10" s="1" t="s">
        <v>255</v>
      </c>
      <c r="E10" t="s">
        <v>197</v>
      </c>
    </row>
    <row r="11" spans="1:5" ht="48" x14ac:dyDescent="0.2">
      <c r="A11">
        <v>1317</v>
      </c>
      <c r="B11" s="23">
        <v>5021</v>
      </c>
      <c r="C11" t="s">
        <v>241</v>
      </c>
      <c r="D11" s="1" t="s">
        <v>267</v>
      </c>
    </row>
    <row r="12" spans="1:5" x14ac:dyDescent="0.2">
      <c r="A12">
        <v>1329</v>
      </c>
      <c r="B12" s="23">
        <v>5023</v>
      </c>
      <c r="E12" t="s">
        <v>197</v>
      </c>
    </row>
    <row r="13" spans="1:5" ht="16" x14ac:dyDescent="0.2">
      <c r="A13">
        <v>1381</v>
      </c>
      <c r="B13" s="23">
        <v>1381</v>
      </c>
      <c r="C13" t="s">
        <v>242</v>
      </c>
      <c r="D13" s="1" t="s">
        <v>253</v>
      </c>
      <c r="E13" t="s">
        <v>196</v>
      </c>
    </row>
    <row r="14" spans="1:5" ht="16" x14ac:dyDescent="0.2">
      <c r="A14">
        <v>1394</v>
      </c>
      <c r="B14" s="23">
        <v>1394</v>
      </c>
      <c r="C14" t="s">
        <v>242</v>
      </c>
      <c r="D14" s="1" t="s">
        <v>253</v>
      </c>
      <c r="E14" t="s">
        <v>196</v>
      </c>
    </row>
    <row r="15" spans="1:5" ht="16" x14ac:dyDescent="0.2">
      <c r="A15">
        <v>1395</v>
      </c>
      <c r="B15" s="23">
        <v>1395</v>
      </c>
      <c r="C15" t="s">
        <v>242</v>
      </c>
      <c r="D15" s="1" t="s">
        <v>253</v>
      </c>
      <c r="E15" t="s">
        <v>196</v>
      </c>
    </row>
    <row r="16" spans="1:5" ht="80" x14ac:dyDescent="0.2">
      <c r="A16">
        <v>1417</v>
      </c>
      <c r="B16" s="23" t="s">
        <v>270</v>
      </c>
      <c r="C16" t="s">
        <v>243</v>
      </c>
      <c r="D16" s="1" t="s">
        <v>269</v>
      </c>
      <c r="E16" t="s">
        <v>197</v>
      </c>
    </row>
    <row r="17" spans="1:5" ht="16" x14ac:dyDescent="0.2">
      <c r="A17">
        <v>1465</v>
      </c>
      <c r="B17" s="23" t="s">
        <v>271</v>
      </c>
      <c r="C17" t="s">
        <v>244</v>
      </c>
      <c r="D17" s="1" t="s">
        <v>254</v>
      </c>
      <c r="E17" t="s">
        <v>197</v>
      </c>
    </row>
    <row r="18" spans="1:5" ht="16" x14ac:dyDescent="0.2">
      <c r="A18">
        <v>1466</v>
      </c>
      <c r="B18" s="23" t="s">
        <v>271</v>
      </c>
      <c r="C18" t="s">
        <v>244</v>
      </c>
      <c r="D18" s="1" t="s">
        <v>254</v>
      </c>
      <c r="E18" t="s">
        <v>197</v>
      </c>
    </row>
    <row r="19" spans="1:5" x14ac:dyDescent="0.2">
      <c r="A19">
        <v>1527</v>
      </c>
      <c r="B19" s="23">
        <v>1527</v>
      </c>
      <c r="E19" t="s">
        <v>196</v>
      </c>
    </row>
    <row r="20" spans="1:5" x14ac:dyDescent="0.2">
      <c r="A20">
        <v>1543</v>
      </c>
      <c r="B20" s="23">
        <v>1552</v>
      </c>
      <c r="E20" t="s">
        <v>197</v>
      </c>
    </row>
    <row r="21" spans="1:5" x14ac:dyDescent="0.2">
      <c r="A21">
        <v>1545</v>
      </c>
      <c r="B21" s="23">
        <v>1552</v>
      </c>
      <c r="E21" t="s">
        <v>197</v>
      </c>
    </row>
    <row r="22" spans="1:5" ht="16" x14ac:dyDescent="0.2">
      <c r="A22">
        <v>1552</v>
      </c>
      <c r="B22" s="23">
        <v>1552</v>
      </c>
      <c r="C22" t="s">
        <v>245</v>
      </c>
      <c r="D22" s="1" t="s">
        <v>253</v>
      </c>
      <c r="E22" t="s">
        <v>196</v>
      </c>
    </row>
    <row r="23" spans="1:5" ht="16" x14ac:dyDescent="0.2">
      <c r="A23">
        <v>1606</v>
      </c>
      <c r="B23" s="23">
        <v>1606</v>
      </c>
      <c r="C23" t="s">
        <v>246</v>
      </c>
      <c r="D23" s="1" t="s">
        <v>256</v>
      </c>
      <c r="E23" t="s">
        <v>196</v>
      </c>
    </row>
    <row r="24" spans="1:5" ht="16" x14ac:dyDescent="0.2">
      <c r="A24">
        <v>1618</v>
      </c>
      <c r="B24" s="23">
        <v>1618</v>
      </c>
      <c r="C24" t="s">
        <v>247</v>
      </c>
      <c r="D24" s="1" t="s">
        <v>253</v>
      </c>
      <c r="E24" t="s">
        <v>196</v>
      </c>
    </row>
    <row r="25" spans="1:5" ht="16" x14ac:dyDescent="0.2">
      <c r="A25">
        <v>1620</v>
      </c>
      <c r="B25" s="23">
        <v>1620</v>
      </c>
      <c r="C25" t="s">
        <v>240</v>
      </c>
      <c r="D25" s="1" t="s">
        <v>253</v>
      </c>
      <c r="E25" t="s">
        <v>196</v>
      </c>
    </row>
    <row r="26" spans="1:5" ht="16" x14ac:dyDescent="0.2">
      <c r="A26">
        <v>1629</v>
      </c>
      <c r="B26" s="23">
        <v>1629</v>
      </c>
      <c r="C26" t="s">
        <v>247</v>
      </c>
      <c r="D26" s="1" t="s">
        <v>253</v>
      </c>
      <c r="E26" t="s">
        <v>196</v>
      </c>
    </row>
    <row r="27" spans="1:5" ht="16" x14ac:dyDescent="0.2">
      <c r="A27">
        <v>1706</v>
      </c>
      <c r="B27" s="1">
        <v>1706</v>
      </c>
      <c r="C27" t="s">
        <v>246</v>
      </c>
      <c r="D27" s="1" t="s">
        <v>256</v>
      </c>
      <c r="E27" t="s">
        <v>196</v>
      </c>
    </row>
    <row r="28" spans="1:5" ht="16" x14ac:dyDescent="0.2">
      <c r="A28">
        <v>1707</v>
      </c>
      <c r="B28" s="1">
        <v>1707</v>
      </c>
      <c r="C28" t="s">
        <v>246</v>
      </c>
      <c r="D28" s="1" t="s">
        <v>256</v>
      </c>
      <c r="E28" t="s">
        <v>196</v>
      </c>
    </row>
    <row r="29" spans="1:5" ht="16" x14ac:dyDescent="0.2">
      <c r="A29">
        <v>1710</v>
      </c>
      <c r="B29" s="1">
        <v>1710</v>
      </c>
      <c r="C29" t="s">
        <v>246</v>
      </c>
      <c r="D29" s="1" t="s">
        <v>256</v>
      </c>
      <c r="E29" t="s">
        <v>196</v>
      </c>
    </row>
    <row r="30" spans="1:5" ht="16" x14ac:dyDescent="0.2">
      <c r="A30">
        <v>1841</v>
      </c>
      <c r="B30" s="23">
        <v>1841</v>
      </c>
      <c r="C30" t="s">
        <v>248</v>
      </c>
      <c r="D30" s="1" t="s">
        <v>257</v>
      </c>
      <c r="E30" t="s">
        <v>196</v>
      </c>
    </row>
    <row r="31" spans="1:5" ht="16" x14ac:dyDescent="0.2">
      <c r="A31">
        <v>1855</v>
      </c>
      <c r="B31" s="23">
        <v>1145</v>
      </c>
      <c r="C31" t="s">
        <v>238</v>
      </c>
      <c r="D31" s="1" t="s">
        <v>258</v>
      </c>
      <c r="E31" t="s">
        <v>197</v>
      </c>
    </row>
    <row r="32" spans="1:5" ht="16" x14ac:dyDescent="0.2">
      <c r="A32">
        <v>1909</v>
      </c>
      <c r="B32" s="23">
        <v>1909</v>
      </c>
      <c r="C32" t="s">
        <v>243</v>
      </c>
      <c r="D32" s="1" t="s">
        <v>256</v>
      </c>
      <c r="E32" t="s">
        <v>196</v>
      </c>
    </row>
    <row r="33" spans="1:5" ht="16" x14ac:dyDescent="0.2">
      <c r="A33">
        <v>3215</v>
      </c>
      <c r="B33" s="23">
        <v>3215</v>
      </c>
      <c r="D33" s="1" t="s">
        <v>259</v>
      </c>
      <c r="E33" t="s">
        <v>196</v>
      </c>
    </row>
    <row r="34" spans="1:5" ht="16" x14ac:dyDescent="0.2">
      <c r="A34">
        <v>4802</v>
      </c>
      <c r="B34" s="23">
        <v>4802</v>
      </c>
      <c r="C34" t="s">
        <v>242</v>
      </c>
      <c r="D34" s="1" t="s">
        <v>253</v>
      </c>
      <c r="E34" t="s">
        <v>196</v>
      </c>
    </row>
    <row r="35" spans="1:5" ht="160" x14ac:dyDescent="0.2">
      <c r="A35">
        <v>5004</v>
      </c>
      <c r="B35" s="23">
        <v>1395</v>
      </c>
      <c r="D35" s="1" t="s">
        <v>272</v>
      </c>
      <c r="E35" t="s">
        <v>197</v>
      </c>
    </row>
    <row r="36" spans="1:5" ht="16" x14ac:dyDescent="0.2">
      <c r="A36">
        <v>5016</v>
      </c>
      <c r="B36" s="23">
        <v>5016</v>
      </c>
      <c r="C36" t="s">
        <v>244</v>
      </c>
      <c r="D36" s="1" t="s">
        <v>253</v>
      </c>
      <c r="E36" t="s">
        <v>196</v>
      </c>
    </row>
    <row r="37" spans="1:5" ht="16" x14ac:dyDescent="0.2">
      <c r="A37">
        <v>5017</v>
      </c>
      <c r="B37" s="23" t="s">
        <v>235</v>
      </c>
      <c r="E37" t="s">
        <v>197</v>
      </c>
    </row>
    <row r="38" spans="1:5" ht="16" x14ac:dyDescent="0.2">
      <c r="A38">
        <v>5019</v>
      </c>
      <c r="B38" s="23" t="s">
        <v>235</v>
      </c>
      <c r="E38" t="s">
        <v>197</v>
      </c>
    </row>
    <row r="39" spans="1:5" ht="16" x14ac:dyDescent="0.2">
      <c r="A39">
        <v>5020</v>
      </c>
      <c r="B39" s="23" t="s">
        <v>235</v>
      </c>
      <c r="E39" t="s">
        <v>197</v>
      </c>
    </row>
    <row r="40" spans="1:5" ht="16" x14ac:dyDescent="0.2">
      <c r="A40">
        <v>5021</v>
      </c>
      <c r="B40" s="23" t="s">
        <v>235</v>
      </c>
      <c r="E40" t="s">
        <v>197</v>
      </c>
    </row>
    <row r="41" spans="1:5" ht="16" x14ac:dyDescent="0.2">
      <c r="A41">
        <v>5022</v>
      </c>
      <c r="B41" s="23" t="s">
        <v>236</v>
      </c>
      <c r="E41" t="s">
        <v>197</v>
      </c>
    </row>
    <row r="42" spans="1:5" ht="16" x14ac:dyDescent="0.2">
      <c r="A42">
        <v>5023</v>
      </c>
      <c r="B42" s="23" t="s">
        <v>236</v>
      </c>
      <c r="E42" t="s">
        <v>197</v>
      </c>
    </row>
    <row r="43" spans="1:5" ht="16" x14ac:dyDescent="0.2">
      <c r="A43">
        <v>5024</v>
      </c>
      <c r="B43" s="23" t="s">
        <v>236</v>
      </c>
      <c r="E43" t="s">
        <v>197</v>
      </c>
    </row>
    <row r="44" spans="1:5" ht="16" x14ac:dyDescent="0.2">
      <c r="A44">
        <v>5025</v>
      </c>
      <c r="B44" s="23" t="s">
        <v>236</v>
      </c>
      <c r="E44" t="s">
        <v>197</v>
      </c>
    </row>
    <row r="45" spans="1:5" x14ac:dyDescent="0.2">
      <c r="A45">
        <v>5042</v>
      </c>
      <c r="B45" s="23">
        <v>5022</v>
      </c>
      <c r="E45" t="s">
        <v>197</v>
      </c>
    </row>
    <row r="46" spans="1:5" ht="16" x14ac:dyDescent="0.2">
      <c r="A46">
        <v>5043</v>
      </c>
      <c r="B46" s="23" t="s">
        <v>235</v>
      </c>
      <c r="E46" t="s">
        <v>197</v>
      </c>
    </row>
    <row r="47" spans="1:5" ht="16" x14ac:dyDescent="0.2">
      <c r="A47">
        <v>5045</v>
      </c>
      <c r="B47" s="23" t="s">
        <v>237</v>
      </c>
      <c r="E47" t="s">
        <v>197</v>
      </c>
    </row>
    <row r="48" spans="1:5" ht="16" x14ac:dyDescent="0.2">
      <c r="A48">
        <v>5046</v>
      </c>
      <c r="B48" s="23" t="s">
        <v>237</v>
      </c>
      <c r="E48" t="s">
        <v>197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3"/>
  <sheetViews>
    <sheetView tabSelected="1" workbookViewId="0">
      <selection activeCell="A120" sqref="A120"/>
    </sheetView>
  </sheetViews>
  <sheetFormatPr baseColWidth="10" defaultColWidth="8.83203125" defaultRowHeight="15" x14ac:dyDescent="0.2"/>
  <cols>
    <col min="1" max="1" width="17.6640625" bestFit="1" customWidth="1"/>
    <col min="2" max="2" width="12.1640625" bestFit="1" customWidth="1"/>
    <col min="3" max="3" width="49.5" bestFit="1" customWidth="1"/>
    <col min="4" max="4" width="13.83203125" bestFit="1" customWidth="1"/>
    <col min="5" max="5" width="30.1640625" style="1" customWidth="1"/>
  </cols>
  <sheetData>
    <row r="1" spans="1:5" ht="16" x14ac:dyDescent="0.2">
      <c r="A1" t="s">
        <v>31</v>
      </c>
      <c r="B1" t="s">
        <v>32</v>
      </c>
      <c r="C1" t="s">
        <v>55</v>
      </c>
      <c r="D1" t="s">
        <v>168</v>
      </c>
      <c r="E1" s="1" t="s">
        <v>169</v>
      </c>
    </row>
    <row r="2" spans="1:5" ht="32" x14ac:dyDescent="0.2">
      <c r="A2" s="2" t="s">
        <v>0</v>
      </c>
      <c r="B2" s="2" t="s">
        <v>17</v>
      </c>
      <c r="C2" s="2" t="s">
        <v>35</v>
      </c>
      <c r="D2" s="2" t="s">
        <v>170</v>
      </c>
      <c r="E2" s="3" t="s">
        <v>171</v>
      </c>
    </row>
    <row r="3" spans="1:5" ht="48" x14ac:dyDescent="0.2">
      <c r="A3" s="2" t="s">
        <v>1</v>
      </c>
      <c r="B3" s="2" t="s">
        <v>18</v>
      </c>
      <c r="C3" s="2" t="s">
        <v>29</v>
      </c>
      <c r="D3" s="2" t="s">
        <v>172</v>
      </c>
      <c r="E3" s="3" t="s">
        <v>173</v>
      </c>
    </row>
    <row r="4" spans="1:5" ht="16" x14ac:dyDescent="0.2">
      <c r="A4" s="2" t="s">
        <v>2</v>
      </c>
      <c r="B4" s="2" t="s">
        <v>2</v>
      </c>
      <c r="C4" s="2" t="s">
        <v>36</v>
      </c>
      <c r="D4" s="2" t="s">
        <v>172</v>
      </c>
      <c r="E4" s="3" t="s">
        <v>174</v>
      </c>
    </row>
    <row r="5" spans="1:5" x14ac:dyDescent="0.2">
      <c r="A5" s="2"/>
      <c r="B5" s="2"/>
      <c r="C5" s="2" t="s">
        <v>141</v>
      </c>
      <c r="D5" s="2"/>
      <c r="E5" s="3"/>
    </row>
    <row r="6" spans="1:5" x14ac:dyDescent="0.2">
      <c r="A6" s="2"/>
      <c r="B6" s="2"/>
      <c r="C6" s="2" t="s">
        <v>142</v>
      </c>
      <c r="D6" s="2"/>
      <c r="E6" s="3"/>
    </row>
    <row r="7" spans="1:5" x14ac:dyDescent="0.2">
      <c r="A7" s="2"/>
      <c r="B7" s="2"/>
      <c r="C7" s="2" t="s">
        <v>143</v>
      </c>
      <c r="D7" s="2"/>
      <c r="E7" s="3"/>
    </row>
    <row r="8" spans="1:5" ht="16" x14ac:dyDescent="0.2">
      <c r="A8" s="2" t="s">
        <v>3</v>
      </c>
      <c r="B8" s="2" t="s">
        <v>3</v>
      </c>
      <c r="C8" s="2" t="s">
        <v>37</v>
      </c>
      <c r="D8" s="2" t="s">
        <v>172</v>
      </c>
      <c r="E8" s="3" t="s">
        <v>174</v>
      </c>
    </row>
    <row r="9" spans="1:5" x14ac:dyDescent="0.2">
      <c r="A9" s="2"/>
      <c r="B9" s="2"/>
      <c r="C9" s="2" t="s">
        <v>134</v>
      </c>
      <c r="D9" s="2"/>
      <c r="E9" s="3"/>
    </row>
    <row r="10" spans="1:5" x14ac:dyDescent="0.2">
      <c r="A10" s="2"/>
      <c r="B10" s="2"/>
      <c r="C10" s="2" t="s">
        <v>33</v>
      </c>
      <c r="D10" s="2"/>
      <c r="E10" s="3"/>
    </row>
    <row r="11" spans="1:5" x14ac:dyDescent="0.2">
      <c r="A11" s="2"/>
      <c r="B11" s="2" t="s">
        <v>30</v>
      </c>
      <c r="C11" s="2" t="s">
        <v>34</v>
      </c>
      <c r="D11" s="2"/>
      <c r="E11" s="3"/>
    </row>
    <row r="12" spans="1:5" x14ac:dyDescent="0.2">
      <c r="A12" s="2"/>
      <c r="B12" s="2"/>
      <c r="C12" s="2" t="s">
        <v>167</v>
      </c>
      <c r="D12" s="2"/>
      <c r="E12" s="3"/>
    </row>
    <row r="13" spans="1:5" ht="32" x14ac:dyDescent="0.2">
      <c r="A13" s="2" t="s">
        <v>4</v>
      </c>
      <c r="B13" s="2" t="s">
        <v>4</v>
      </c>
      <c r="C13" s="2" t="s">
        <v>38</v>
      </c>
      <c r="D13" s="2" t="s">
        <v>172</v>
      </c>
      <c r="E13" s="3" t="s">
        <v>175</v>
      </c>
    </row>
    <row r="14" spans="1:5" x14ac:dyDescent="0.2">
      <c r="A14" s="2"/>
      <c r="B14" s="2"/>
      <c r="C14" s="2" t="s">
        <v>144</v>
      </c>
      <c r="D14" s="2"/>
      <c r="E14" s="3"/>
    </row>
    <row r="15" spans="1:5" x14ac:dyDescent="0.2">
      <c r="A15" s="2"/>
      <c r="B15" s="2"/>
      <c r="C15" s="2" t="s">
        <v>59</v>
      </c>
      <c r="D15" s="2"/>
      <c r="E15" s="3"/>
    </row>
    <row r="16" spans="1:5" x14ac:dyDescent="0.2">
      <c r="A16" s="2"/>
      <c r="B16" s="2"/>
      <c r="C16" s="2" t="s">
        <v>60</v>
      </c>
      <c r="D16" s="2"/>
      <c r="E16" s="3"/>
    </row>
    <row r="17" spans="1:5" x14ac:dyDescent="0.2">
      <c r="A17" s="2"/>
      <c r="B17" s="2"/>
      <c r="C17" s="2" t="s">
        <v>64</v>
      </c>
      <c r="D17" s="2"/>
      <c r="E17" s="3"/>
    </row>
    <row r="18" spans="1:5" x14ac:dyDescent="0.2">
      <c r="A18" s="2"/>
      <c r="B18" s="2"/>
      <c r="C18" s="2" t="s">
        <v>61</v>
      </c>
      <c r="D18" s="2"/>
      <c r="E18" s="3"/>
    </row>
    <row r="19" spans="1:5" x14ac:dyDescent="0.2">
      <c r="A19" s="2"/>
      <c r="B19" s="2"/>
      <c r="C19" s="2" t="s">
        <v>62</v>
      </c>
      <c r="D19" s="2"/>
      <c r="E19" s="3"/>
    </row>
    <row r="20" spans="1:5" x14ac:dyDescent="0.2">
      <c r="A20" s="2"/>
      <c r="B20" s="2"/>
      <c r="C20" s="2" t="s">
        <v>63</v>
      </c>
      <c r="D20" s="2"/>
      <c r="E20" s="3"/>
    </row>
    <row r="21" spans="1:5" ht="32" x14ac:dyDescent="0.2">
      <c r="A21" s="2" t="s">
        <v>5</v>
      </c>
      <c r="B21" s="2" t="s">
        <v>19</v>
      </c>
      <c r="C21" s="3" t="s">
        <v>159</v>
      </c>
      <c r="D21" s="2" t="s">
        <v>170</v>
      </c>
      <c r="E21" s="3" t="s">
        <v>176</v>
      </c>
    </row>
    <row r="22" spans="1:5" ht="32" x14ac:dyDescent="0.2">
      <c r="A22" s="2" t="s">
        <v>48</v>
      </c>
      <c r="B22" s="2" t="s">
        <v>48</v>
      </c>
      <c r="C22" s="3" t="s">
        <v>145</v>
      </c>
      <c r="D22" s="2" t="s">
        <v>170</v>
      </c>
      <c r="E22" s="3" t="s">
        <v>177</v>
      </c>
    </row>
    <row r="23" spans="1:5" ht="16" x14ac:dyDescent="0.2">
      <c r="A23" s="2"/>
      <c r="B23" s="2"/>
      <c r="C23" s="3" t="s">
        <v>51</v>
      </c>
      <c r="D23" s="2"/>
      <c r="E23" s="3"/>
    </row>
    <row r="24" spans="1:5" ht="16" x14ac:dyDescent="0.2">
      <c r="A24" s="2"/>
      <c r="B24" s="2"/>
      <c r="C24" s="3" t="s">
        <v>49</v>
      </c>
      <c r="D24" s="2"/>
      <c r="E24" s="3"/>
    </row>
    <row r="25" spans="1:5" ht="16" x14ac:dyDescent="0.2">
      <c r="A25" s="2"/>
      <c r="B25" s="2"/>
      <c r="C25" s="3" t="s">
        <v>50</v>
      </c>
      <c r="D25" s="2"/>
      <c r="E25" s="3"/>
    </row>
    <row r="26" spans="1:5" ht="48" x14ac:dyDescent="0.2">
      <c r="A26" s="2" t="s">
        <v>6</v>
      </c>
      <c r="B26" s="2" t="s">
        <v>20</v>
      </c>
      <c r="C26" s="2" t="s">
        <v>39</v>
      </c>
      <c r="D26" s="2" t="s">
        <v>172</v>
      </c>
      <c r="E26" s="3" t="s">
        <v>180</v>
      </c>
    </row>
    <row r="27" spans="1:5" x14ac:dyDescent="0.2">
      <c r="A27" s="2"/>
      <c r="B27" s="2"/>
      <c r="C27" s="2" t="s">
        <v>70</v>
      </c>
      <c r="D27" s="2"/>
      <c r="E27" s="3"/>
    </row>
    <row r="28" spans="1:5" x14ac:dyDescent="0.2">
      <c r="A28" s="2"/>
      <c r="B28" s="2"/>
      <c r="C28" s="2" t="s">
        <v>71</v>
      </c>
      <c r="D28" s="2"/>
      <c r="E28" s="3"/>
    </row>
    <row r="29" spans="1:5" x14ac:dyDescent="0.2">
      <c r="A29" s="2"/>
      <c r="B29" s="2"/>
      <c r="C29" s="2" t="s">
        <v>72</v>
      </c>
      <c r="D29" s="2"/>
      <c r="E29" s="3"/>
    </row>
    <row r="30" spans="1:5" x14ac:dyDescent="0.2">
      <c r="A30" s="2"/>
      <c r="B30" s="2"/>
      <c r="C30" s="2" t="s">
        <v>73</v>
      </c>
      <c r="D30" s="2"/>
      <c r="E30" s="3"/>
    </row>
    <row r="31" spans="1:5" x14ac:dyDescent="0.2">
      <c r="A31" s="2"/>
      <c r="B31" s="2"/>
      <c r="C31" s="2" t="s">
        <v>74</v>
      </c>
      <c r="D31" s="2"/>
      <c r="E31" s="3"/>
    </row>
    <row r="32" spans="1:5" x14ac:dyDescent="0.2">
      <c r="A32" s="2"/>
      <c r="B32" s="2"/>
      <c r="C32" s="2" t="s">
        <v>75</v>
      </c>
      <c r="D32" s="2"/>
      <c r="E32" s="3"/>
    </row>
    <row r="33" spans="1:5" x14ac:dyDescent="0.2">
      <c r="A33" s="2"/>
      <c r="B33" s="2"/>
      <c r="C33" s="2" t="s">
        <v>76</v>
      </c>
      <c r="D33" s="2"/>
      <c r="E33" s="3"/>
    </row>
    <row r="34" spans="1:5" x14ac:dyDescent="0.2">
      <c r="A34" s="2"/>
      <c r="B34" s="2"/>
      <c r="C34" s="2" t="s">
        <v>77</v>
      </c>
      <c r="D34" s="2"/>
      <c r="E34" s="3"/>
    </row>
    <row r="35" spans="1:5" x14ac:dyDescent="0.2">
      <c r="A35" s="2"/>
      <c r="B35" s="2"/>
      <c r="C35" s="2" t="s">
        <v>78</v>
      </c>
      <c r="D35" s="2"/>
      <c r="E35" s="3"/>
    </row>
    <row r="36" spans="1:5" x14ac:dyDescent="0.2">
      <c r="A36" s="2"/>
      <c r="B36" s="2"/>
      <c r="C36" s="2" t="s">
        <v>79</v>
      </c>
      <c r="D36" s="2"/>
      <c r="E36" s="3"/>
    </row>
    <row r="37" spans="1:5" x14ac:dyDescent="0.2">
      <c r="A37" s="2"/>
      <c r="B37" s="2"/>
      <c r="C37" s="2" t="s">
        <v>80</v>
      </c>
      <c r="D37" s="2"/>
      <c r="E37" s="3"/>
    </row>
    <row r="38" spans="1:5" x14ac:dyDescent="0.2">
      <c r="A38" s="2"/>
      <c r="B38" s="2"/>
      <c r="C38" s="2" t="s">
        <v>81</v>
      </c>
      <c r="D38" s="2"/>
      <c r="E38" s="3"/>
    </row>
    <row r="39" spans="1:5" x14ac:dyDescent="0.2">
      <c r="A39" s="2"/>
      <c r="B39" s="2"/>
      <c r="C39" s="2" t="s">
        <v>82</v>
      </c>
      <c r="D39" s="2"/>
      <c r="E39" s="3"/>
    </row>
    <row r="40" spans="1:5" x14ac:dyDescent="0.2">
      <c r="A40" s="2"/>
      <c r="B40" s="2"/>
      <c r="C40" s="2" t="s">
        <v>83</v>
      </c>
      <c r="D40" s="2"/>
      <c r="E40" s="3"/>
    </row>
    <row r="41" spans="1:5" x14ac:dyDescent="0.2">
      <c r="A41" s="2"/>
      <c r="B41" s="2"/>
      <c r="C41" s="2" t="s">
        <v>84</v>
      </c>
      <c r="D41" s="2"/>
      <c r="E41" s="3"/>
    </row>
    <row r="42" spans="1:5" x14ac:dyDescent="0.2">
      <c r="A42" s="2"/>
      <c r="B42" s="2"/>
      <c r="C42" s="2" t="s">
        <v>85</v>
      </c>
      <c r="D42" s="2"/>
      <c r="E42" s="3"/>
    </row>
    <row r="43" spans="1:5" x14ac:dyDescent="0.2">
      <c r="A43" s="2"/>
      <c r="B43" s="2"/>
      <c r="C43" s="2" t="s">
        <v>86</v>
      </c>
      <c r="D43" s="2"/>
      <c r="E43" s="3"/>
    </row>
    <row r="44" spans="1:5" x14ac:dyDescent="0.2">
      <c r="A44" s="2"/>
      <c r="B44" s="2"/>
      <c r="C44" s="2" t="s">
        <v>87</v>
      </c>
      <c r="D44" s="2"/>
      <c r="E44" s="3"/>
    </row>
    <row r="45" spans="1:5" x14ac:dyDescent="0.2">
      <c r="A45" s="2"/>
      <c r="B45" s="2"/>
      <c r="C45" s="2" t="s">
        <v>88</v>
      </c>
      <c r="D45" s="2"/>
      <c r="E45" s="3"/>
    </row>
    <row r="46" spans="1:5" x14ac:dyDescent="0.2">
      <c r="A46" s="2"/>
      <c r="B46" s="2"/>
      <c r="C46" s="2" t="s">
        <v>89</v>
      </c>
      <c r="D46" s="2"/>
      <c r="E46" s="3"/>
    </row>
    <row r="47" spans="1:5" x14ac:dyDescent="0.2">
      <c r="A47" s="2"/>
      <c r="B47" s="2"/>
      <c r="C47" s="2" t="s">
        <v>90</v>
      </c>
      <c r="D47" s="2"/>
      <c r="E47" s="3"/>
    </row>
    <row r="48" spans="1:5" x14ac:dyDescent="0.2">
      <c r="A48" s="2"/>
      <c r="B48" s="2"/>
      <c r="C48" s="2" t="s">
        <v>91</v>
      </c>
      <c r="D48" s="2"/>
      <c r="E48" s="3"/>
    </row>
    <row r="49" spans="1:5" x14ac:dyDescent="0.2">
      <c r="A49" s="2"/>
      <c r="B49" s="2"/>
      <c r="C49" s="2" t="s">
        <v>92</v>
      </c>
      <c r="D49" s="2"/>
      <c r="E49" s="3"/>
    </row>
    <row r="50" spans="1:5" x14ac:dyDescent="0.2">
      <c r="A50" s="2"/>
      <c r="B50" s="2"/>
      <c r="C50" s="2" t="s">
        <v>93</v>
      </c>
      <c r="D50" s="2"/>
      <c r="E50" s="3"/>
    </row>
    <row r="51" spans="1:5" x14ac:dyDescent="0.2">
      <c r="A51" s="2"/>
      <c r="B51" s="2"/>
      <c r="C51" s="2" t="s">
        <v>94</v>
      </c>
      <c r="D51" s="2"/>
      <c r="E51" s="3"/>
    </row>
    <row r="52" spans="1:5" x14ac:dyDescent="0.2">
      <c r="A52" s="2"/>
      <c r="B52" s="2"/>
      <c r="C52" s="2" t="s">
        <v>95</v>
      </c>
      <c r="D52" s="2"/>
      <c r="E52" s="3"/>
    </row>
    <row r="53" spans="1:5" ht="80" x14ac:dyDescent="0.2">
      <c r="A53" s="2" t="s">
        <v>69</v>
      </c>
      <c r="B53" s="2" t="s">
        <v>43</v>
      </c>
      <c r="C53" s="2" t="s">
        <v>65</v>
      </c>
      <c r="D53" s="2" t="s">
        <v>170</v>
      </c>
      <c r="E53" s="3" t="s">
        <v>222</v>
      </c>
    </row>
    <row r="54" spans="1:5" ht="48" x14ac:dyDescent="0.2">
      <c r="A54" s="2" t="s">
        <v>7</v>
      </c>
      <c r="B54" s="2" t="s">
        <v>21</v>
      </c>
      <c r="C54" s="2" t="s">
        <v>40</v>
      </c>
      <c r="D54" s="2" t="s">
        <v>172</v>
      </c>
      <c r="E54" s="3" t="s">
        <v>178</v>
      </c>
    </row>
    <row r="55" spans="1:5" x14ac:dyDescent="0.2">
      <c r="A55" s="2"/>
      <c r="B55" s="2"/>
      <c r="C55" s="2" t="s">
        <v>96</v>
      </c>
      <c r="D55" s="2"/>
      <c r="E55" s="3"/>
    </row>
    <row r="56" spans="1:5" x14ac:dyDescent="0.2">
      <c r="A56" s="2"/>
      <c r="B56" s="2"/>
      <c r="C56" s="2" t="s">
        <v>97</v>
      </c>
      <c r="D56" s="2"/>
      <c r="E56" s="3"/>
    </row>
    <row r="57" spans="1:5" x14ac:dyDescent="0.2">
      <c r="A57" s="2"/>
      <c r="B57" s="2"/>
      <c r="C57" s="2" t="s">
        <v>100</v>
      </c>
      <c r="D57" s="2"/>
      <c r="E57" s="3"/>
    </row>
    <row r="58" spans="1:5" x14ac:dyDescent="0.2">
      <c r="A58" s="2"/>
      <c r="B58" s="2"/>
      <c r="C58" s="2" t="s">
        <v>101</v>
      </c>
      <c r="D58" s="2"/>
      <c r="E58" s="3"/>
    </row>
    <row r="59" spans="1:5" x14ac:dyDescent="0.2">
      <c r="A59" s="2"/>
      <c r="B59" s="2"/>
      <c r="C59" s="2" t="s">
        <v>102</v>
      </c>
      <c r="D59" s="2"/>
      <c r="E59" s="3"/>
    </row>
    <row r="60" spans="1:5" x14ac:dyDescent="0.2">
      <c r="A60" s="2"/>
      <c r="B60" s="2"/>
      <c r="C60" s="2" t="s">
        <v>103</v>
      </c>
      <c r="D60" s="2"/>
      <c r="E60" s="3"/>
    </row>
    <row r="61" spans="1:5" x14ac:dyDescent="0.2">
      <c r="A61" s="2"/>
      <c r="B61" s="2"/>
      <c r="C61" s="2" t="s">
        <v>98</v>
      </c>
      <c r="D61" s="2"/>
      <c r="E61" s="3"/>
    </row>
    <row r="62" spans="1:5" x14ac:dyDescent="0.2">
      <c r="A62" s="2"/>
      <c r="B62" s="2"/>
      <c r="C62" s="2" t="s">
        <v>99</v>
      </c>
      <c r="D62" s="2"/>
      <c r="E62" s="3"/>
    </row>
    <row r="63" spans="1:5" x14ac:dyDescent="0.2">
      <c r="A63" s="2"/>
      <c r="B63" s="2"/>
      <c r="C63" s="2" t="s">
        <v>104</v>
      </c>
      <c r="D63" s="2"/>
      <c r="E63" s="3"/>
    </row>
    <row r="64" spans="1:5" x14ac:dyDescent="0.2">
      <c r="A64" s="2"/>
      <c r="B64" s="2"/>
      <c r="C64" s="2" t="s">
        <v>105</v>
      </c>
      <c r="D64" s="2"/>
      <c r="E64" s="3"/>
    </row>
    <row r="65" spans="1:5" x14ac:dyDescent="0.2">
      <c r="A65" s="2"/>
      <c r="B65" s="2"/>
      <c r="C65" s="2" t="s">
        <v>106</v>
      </c>
      <c r="D65" s="2"/>
      <c r="E65" s="3"/>
    </row>
    <row r="66" spans="1:5" x14ac:dyDescent="0.2">
      <c r="A66" s="2"/>
      <c r="B66" s="2"/>
      <c r="C66" s="2" t="s">
        <v>107</v>
      </c>
      <c r="D66" s="2"/>
      <c r="E66" s="3"/>
    </row>
    <row r="67" spans="1:5" x14ac:dyDescent="0.2">
      <c r="A67" s="2"/>
      <c r="B67" s="2"/>
      <c r="C67" s="2" t="s">
        <v>108</v>
      </c>
      <c r="D67" s="2"/>
      <c r="E67" s="3"/>
    </row>
    <row r="68" spans="1:5" x14ac:dyDescent="0.2">
      <c r="A68" s="2"/>
      <c r="B68" s="2"/>
      <c r="C68" s="2" t="s">
        <v>109</v>
      </c>
      <c r="D68" s="2"/>
      <c r="E68" s="3"/>
    </row>
    <row r="69" spans="1:5" x14ac:dyDescent="0.2">
      <c r="A69" s="2"/>
      <c r="B69" s="2"/>
      <c r="C69" s="2" t="s">
        <v>110</v>
      </c>
      <c r="D69" s="2"/>
      <c r="E69" s="3"/>
    </row>
    <row r="70" spans="1:5" x14ac:dyDescent="0.2">
      <c r="A70" s="2"/>
      <c r="B70" s="2"/>
      <c r="C70" s="2" t="s">
        <v>111</v>
      </c>
      <c r="D70" s="2"/>
      <c r="E70" s="3"/>
    </row>
    <row r="71" spans="1:5" x14ac:dyDescent="0.2">
      <c r="A71" s="2"/>
      <c r="B71" s="2"/>
      <c r="C71" s="2" t="s">
        <v>112</v>
      </c>
      <c r="D71" s="2"/>
      <c r="E71" s="3"/>
    </row>
    <row r="72" spans="1:5" x14ac:dyDescent="0.2">
      <c r="A72" s="2"/>
      <c r="B72" s="2"/>
      <c r="C72" s="2" t="s">
        <v>113</v>
      </c>
      <c r="D72" s="2"/>
      <c r="E72" s="3"/>
    </row>
    <row r="73" spans="1:5" x14ac:dyDescent="0.2">
      <c r="A73" s="2"/>
      <c r="B73" s="2"/>
      <c r="C73" s="2" t="s">
        <v>114</v>
      </c>
      <c r="D73" s="2"/>
      <c r="E73" s="3"/>
    </row>
    <row r="74" spans="1:5" x14ac:dyDescent="0.2">
      <c r="A74" s="2"/>
      <c r="B74" s="2"/>
      <c r="C74" s="2" t="s">
        <v>115</v>
      </c>
      <c r="D74" s="2"/>
      <c r="E74" s="3"/>
    </row>
    <row r="75" spans="1:5" x14ac:dyDescent="0.2">
      <c r="A75" s="2"/>
      <c r="B75" s="2"/>
      <c r="C75" s="2" t="s">
        <v>116</v>
      </c>
      <c r="D75" s="2"/>
      <c r="E75" s="3"/>
    </row>
    <row r="76" spans="1:5" x14ac:dyDescent="0.2">
      <c r="A76" s="2"/>
      <c r="B76" s="2"/>
      <c r="C76" s="2" t="s">
        <v>117</v>
      </c>
      <c r="D76" s="2"/>
      <c r="E76" s="3"/>
    </row>
    <row r="77" spans="1:5" x14ac:dyDescent="0.2">
      <c r="A77" s="2"/>
      <c r="B77" s="2"/>
      <c r="C77" s="2" t="s">
        <v>118</v>
      </c>
      <c r="D77" s="2"/>
      <c r="E77" s="3"/>
    </row>
    <row r="78" spans="1:5" x14ac:dyDescent="0.2">
      <c r="A78" s="2"/>
      <c r="B78" s="2"/>
      <c r="C78" s="2" t="s">
        <v>119</v>
      </c>
      <c r="D78" s="2"/>
      <c r="E78" s="3"/>
    </row>
    <row r="79" spans="1:5" x14ac:dyDescent="0.2">
      <c r="A79" s="2"/>
      <c r="B79" s="2"/>
      <c r="C79" s="2" t="s">
        <v>120</v>
      </c>
      <c r="D79" s="2"/>
      <c r="E79" s="3"/>
    </row>
    <row r="80" spans="1:5" x14ac:dyDescent="0.2">
      <c r="A80" s="2"/>
      <c r="B80" s="2"/>
      <c r="C80" s="2" t="s">
        <v>121</v>
      </c>
      <c r="D80" s="2"/>
      <c r="E80" s="3"/>
    </row>
    <row r="81" spans="1:5" x14ac:dyDescent="0.2">
      <c r="A81" s="2"/>
      <c r="B81" s="2"/>
      <c r="C81" s="2" t="s">
        <v>122</v>
      </c>
      <c r="D81" s="2"/>
      <c r="E81" s="3"/>
    </row>
    <row r="82" spans="1:5" x14ac:dyDescent="0.2">
      <c r="A82" s="2"/>
      <c r="B82" s="2"/>
      <c r="C82" s="2" t="s">
        <v>123</v>
      </c>
      <c r="D82" s="2"/>
      <c r="E82" s="3"/>
    </row>
    <row r="83" spans="1:5" x14ac:dyDescent="0.2">
      <c r="A83" s="2"/>
      <c r="B83" s="2"/>
      <c r="C83" s="2" t="s">
        <v>124</v>
      </c>
      <c r="D83" s="2"/>
      <c r="E83" s="3"/>
    </row>
    <row r="84" spans="1:5" x14ac:dyDescent="0.2">
      <c r="A84" s="2"/>
      <c r="B84" s="2"/>
      <c r="C84" s="2" t="s">
        <v>125</v>
      </c>
      <c r="D84" s="2"/>
      <c r="E84" s="3"/>
    </row>
    <row r="85" spans="1:5" ht="32" x14ac:dyDescent="0.2">
      <c r="A85" s="2" t="s">
        <v>68</v>
      </c>
      <c r="B85" s="2" t="s">
        <v>44</v>
      </c>
      <c r="C85" s="2" t="s">
        <v>66</v>
      </c>
      <c r="D85" s="2" t="s">
        <v>170</v>
      </c>
      <c r="E85" s="3" t="s">
        <v>181</v>
      </c>
    </row>
    <row r="86" spans="1:5" ht="48" x14ac:dyDescent="0.2">
      <c r="A86" s="2" t="s">
        <v>8</v>
      </c>
      <c r="B86" s="2" t="s">
        <v>22</v>
      </c>
      <c r="C86" s="3" t="s">
        <v>160</v>
      </c>
      <c r="D86" s="2" t="s">
        <v>170</v>
      </c>
      <c r="E86" s="3" t="s">
        <v>182</v>
      </c>
    </row>
    <row r="87" spans="1:5" ht="48" x14ac:dyDescent="0.2">
      <c r="A87" s="2" t="s">
        <v>67</v>
      </c>
      <c r="B87" s="2" t="s">
        <v>45</v>
      </c>
      <c r="C87" s="3" t="s">
        <v>158</v>
      </c>
      <c r="D87" s="2"/>
      <c r="E87" s="3" t="s">
        <v>183</v>
      </c>
    </row>
    <row r="88" spans="1:5" ht="80" x14ac:dyDescent="0.2">
      <c r="A88" s="2" t="s">
        <v>9</v>
      </c>
      <c r="B88" s="2" t="s">
        <v>23</v>
      </c>
      <c r="C88" s="3" t="s">
        <v>9</v>
      </c>
      <c r="D88" s="2" t="s">
        <v>172</v>
      </c>
      <c r="E88" s="3" t="s">
        <v>184</v>
      </c>
    </row>
    <row r="89" spans="1:5" x14ac:dyDescent="0.2">
      <c r="A89" s="2"/>
      <c r="B89" s="2"/>
      <c r="C89" s="2" t="s">
        <v>126</v>
      </c>
      <c r="D89" s="2"/>
      <c r="E89" s="3"/>
    </row>
    <row r="90" spans="1:5" x14ac:dyDescent="0.2">
      <c r="A90" s="2"/>
      <c r="B90" s="2"/>
      <c r="C90" s="2" t="s">
        <v>127</v>
      </c>
      <c r="D90" s="2"/>
      <c r="E90" s="3"/>
    </row>
    <row r="91" spans="1:5" x14ac:dyDescent="0.2">
      <c r="A91" s="2"/>
      <c r="B91" s="2"/>
      <c r="C91" s="2" t="s">
        <v>128</v>
      </c>
      <c r="D91" s="2"/>
      <c r="E91" s="3"/>
    </row>
    <row r="92" spans="1:5" x14ac:dyDescent="0.2">
      <c r="A92" s="2"/>
      <c r="B92" s="2"/>
      <c r="C92" s="2" t="s">
        <v>129</v>
      </c>
      <c r="D92" s="2"/>
      <c r="E92" s="3"/>
    </row>
    <row r="93" spans="1:5" x14ac:dyDescent="0.2">
      <c r="A93" s="2"/>
      <c r="B93" s="2"/>
      <c r="C93" s="2" t="s">
        <v>130</v>
      </c>
      <c r="D93" s="2"/>
      <c r="E93" s="3"/>
    </row>
    <row r="94" spans="1:5" x14ac:dyDescent="0.2">
      <c r="A94" s="2"/>
      <c r="B94" s="2"/>
      <c r="C94" s="2" t="s">
        <v>131</v>
      </c>
      <c r="D94" s="2"/>
      <c r="E94" s="3"/>
    </row>
    <row r="95" spans="1:5" x14ac:dyDescent="0.2">
      <c r="A95" s="2"/>
      <c r="B95" s="2"/>
      <c r="C95" s="2" t="s">
        <v>132</v>
      </c>
      <c r="D95" s="2"/>
      <c r="E95" s="3"/>
    </row>
    <row r="96" spans="1:5" ht="32" x14ac:dyDescent="0.2">
      <c r="A96" s="2" t="s">
        <v>10</v>
      </c>
      <c r="B96" s="2" t="s">
        <v>24</v>
      </c>
      <c r="C96" s="2" t="s">
        <v>133</v>
      </c>
      <c r="D96" s="2" t="s">
        <v>172</v>
      </c>
      <c r="E96" s="3" t="s">
        <v>185</v>
      </c>
    </row>
    <row r="97" spans="1:5" x14ac:dyDescent="0.2">
      <c r="A97" s="2"/>
      <c r="B97" s="2"/>
      <c r="C97" s="2" t="s">
        <v>134</v>
      </c>
      <c r="D97" s="2"/>
      <c r="E97" s="3"/>
    </row>
    <row r="98" spans="1:5" x14ac:dyDescent="0.2">
      <c r="A98" s="2"/>
      <c r="B98" s="2"/>
      <c r="C98" s="2" t="s">
        <v>56</v>
      </c>
      <c r="D98" s="2"/>
      <c r="E98" s="3"/>
    </row>
    <row r="99" spans="1:5" x14ac:dyDescent="0.2">
      <c r="A99" s="2"/>
      <c r="B99" s="2"/>
      <c r="C99" s="2" t="s">
        <v>135</v>
      </c>
      <c r="D99" s="2"/>
      <c r="E99" s="3"/>
    </row>
    <row r="100" spans="1:5" x14ac:dyDescent="0.2">
      <c r="A100" s="2"/>
      <c r="B100" s="2"/>
      <c r="C100" s="2" t="s">
        <v>136</v>
      </c>
      <c r="D100" s="2"/>
      <c r="E100" s="3"/>
    </row>
    <row r="101" spans="1:5" x14ac:dyDescent="0.2">
      <c r="A101" s="2"/>
      <c r="B101" s="2"/>
      <c r="C101" s="2" t="s">
        <v>137</v>
      </c>
      <c r="D101" s="2"/>
      <c r="E101" s="3"/>
    </row>
    <row r="102" spans="1:5" x14ac:dyDescent="0.2">
      <c r="A102" s="2"/>
      <c r="B102" s="2"/>
      <c r="C102" s="2" t="s">
        <v>138</v>
      </c>
      <c r="D102" s="2"/>
      <c r="E102" s="3"/>
    </row>
    <row r="103" spans="1:5" x14ac:dyDescent="0.2">
      <c r="A103" s="2"/>
      <c r="B103" s="2"/>
      <c r="C103" s="2" t="s">
        <v>57</v>
      </c>
      <c r="D103" s="2"/>
      <c r="E103" s="3"/>
    </row>
    <row r="104" spans="1:5" x14ac:dyDescent="0.2">
      <c r="A104" s="2"/>
      <c r="B104" s="2"/>
      <c r="C104" s="2" t="s">
        <v>58</v>
      </c>
      <c r="D104" s="2"/>
      <c r="E104" s="3"/>
    </row>
    <row r="105" spans="1:5" x14ac:dyDescent="0.2">
      <c r="A105" s="2"/>
      <c r="B105" s="2"/>
      <c r="C105" s="2" t="s">
        <v>139</v>
      </c>
      <c r="D105" s="2"/>
      <c r="E105" s="3"/>
    </row>
    <row r="106" spans="1:5" ht="48" x14ac:dyDescent="0.2">
      <c r="A106" s="2" t="s">
        <v>11</v>
      </c>
      <c r="B106" s="2" t="s">
        <v>25</v>
      </c>
      <c r="C106" s="2" t="s">
        <v>140</v>
      </c>
      <c r="D106" s="2" t="s">
        <v>172</v>
      </c>
      <c r="E106" s="3" t="s">
        <v>186</v>
      </c>
    </row>
    <row r="107" spans="1:5" x14ac:dyDescent="0.2">
      <c r="A107" s="2"/>
      <c r="B107" s="2"/>
      <c r="C107" s="2" t="s">
        <v>146</v>
      </c>
      <c r="D107" s="2"/>
      <c r="E107" s="3"/>
    </row>
    <row r="108" spans="1:5" x14ac:dyDescent="0.2">
      <c r="A108" s="2"/>
      <c r="B108" s="2"/>
      <c r="C108" s="2" t="s">
        <v>147</v>
      </c>
      <c r="D108" s="2"/>
      <c r="E108" s="3"/>
    </row>
    <row r="109" spans="1:5" x14ac:dyDescent="0.2">
      <c r="A109" s="2"/>
      <c r="B109" s="2"/>
      <c r="C109" s="2" t="s">
        <v>148</v>
      </c>
      <c r="D109" s="2"/>
      <c r="E109" s="3"/>
    </row>
    <row r="110" spans="1:5" ht="16" x14ac:dyDescent="0.2">
      <c r="A110" s="2"/>
      <c r="B110" s="2"/>
      <c r="C110" s="3" t="s">
        <v>149</v>
      </c>
      <c r="D110" s="2"/>
      <c r="E110" s="3"/>
    </row>
    <row r="111" spans="1:5" ht="48" x14ac:dyDescent="0.2">
      <c r="A111" s="2" t="s">
        <v>52</v>
      </c>
      <c r="B111" s="2" t="s">
        <v>52</v>
      </c>
      <c r="C111" s="3" t="s">
        <v>165</v>
      </c>
      <c r="D111" s="2" t="s">
        <v>172</v>
      </c>
      <c r="E111" s="3" t="s">
        <v>187</v>
      </c>
    </row>
    <row r="112" spans="1:5" x14ac:dyDescent="0.2">
      <c r="A112" s="2"/>
      <c r="B112" s="2"/>
      <c r="C112" s="2" t="s">
        <v>150</v>
      </c>
      <c r="D112" s="2"/>
      <c r="E112" s="3"/>
    </row>
    <row r="113" spans="1:5" x14ac:dyDescent="0.2">
      <c r="A113" s="2"/>
      <c r="B113" s="2"/>
      <c r="C113" s="2" t="s">
        <v>49</v>
      </c>
      <c r="D113" s="2"/>
      <c r="E113" s="3"/>
    </row>
    <row r="114" spans="1:5" ht="34.5" customHeight="1" x14ac:dyDescent="0.2">
      <c r="A114" s="2" t="s">
        <v>54</v>
      </c>
      <c r="B114" s="2" t="s">
        <v>54</v>
      </c>
      <c r="C114" s="3" t="s">
        <v>166</v>
      </c>
      <c r="D114" s="2" t="s">
        <v>172</v>
      </c>
      <c r="E114" s="3" t="s">
        <v>187</v>
      </c>
    </row>
    <row r="115" spans="1:5" x14ac:dyDescent="0.2">
      <c r="A115" s="2"/>
      <c r="B115" s="2"/>
      <c r="C115" s="2" t="s">
        <v>53</v>
      </c>
      <c r="D115" s="2"/>
      <c r="E115" s="3"/>
    </row>
    <row r="116" spans="1:5" x14ac:dyDescent="0.2">
      <c r="A116" s="2"/>
      <c r="B116" s="2"/>
      <c r="C116" s="2" t="s">
        <v>49</v>
      </c>
      <c r="D116" s="2"/>
      <c r="E116" s="3"/>
    </row>
    <row r="117" spans="1:5" ht="32" x14ac:dyDescent="0.2">
      <c r="A117" s="2" t="s">
        <v>12</v>
      </c>
      <c r="B117" s="2" t="s">
        <v>26</v>
      </c>
      <c r="C117" s="2" t="s">
        <v>151</v>
      </c>
      <c r="D117" s="2" t="s">
        <v>172</v>
      </c>
      <c r="E117" s="3" t="s">
        <v>188</v>
      </c>
    </row>
    <row r="118" spans="1:5" ht="32" x14ac:dyDescent="0.2">
      <c r="A118" s="2" t="s">
        <v>13</v>
      </c>
      <c r="B118" s="2" t="s">
        <v>27</v>
      </c>
      <c r="C118" s="2" t="s">
        <v>152</v>
      </c>
      <c r="D118" s="2" t="s">
        <v>172</v>
      </c>
      <c r="E118" s="3" t="s">
        <v>188</v>
      </c>
    </row>
    <row r="119" spans="1:5" ht="32" x14ac:dyDescent="0.2">
      <c r="A119" s="2" t="s">
        <v>41</v>
      </c>
      <c r="B119" s="2" t="s">
        <v>42</v>
      </c>
      <c r="C119" s="3" t="s">
        <v>153</v>
      </c>
      <c r="D119" s="2" t="s">
        <v>170</v>
      </c>
      <c r="E119" s="3" t="s">
        <v>189</v>
      </c>
    </row>
    <row r="120" spans="1:5" ht="32" x14ac:dyDescent="0.2">
      <c r="A120" s="2" t="s">
        <v>46</v>
      </c>
      <c r="B120" s="2" t="s">
        <v>47</v>
      </c>
      <c r="C120" s="3" t="s">
        <v>154</v>
      </c>
      <c r="D120" s="2" t="s">
        <v>172</v>
      </c>
      <c r="E120" s="3" t="s">
        <v>190</v>
      </c>
    </row>
    <row r="121" spans="1:5" ht="48" x14ac:dyDescent="0.2">
      <c r="A121" s="2" t="s">
        <v>14</v>
      </c>
      <c r="B121" s="2" t="s">
        <v>14</v>
      </c>
      <c r="C121" s="2" t="s">
        <v>155</v>
      </c>
      <c r="D121" s="2" t="s">
        <v>170</v>
      </c>
      <c r="E121" s="3" t="s">
        <v>192</v>
      </c>
    </row>
    <row r="122" spans="1:5" ht="48" x14ac:dyDescent="0.2">
      <c r="A122" s="2" t="s">
        <v>15</v>
      </c>
      <c r="B122" s="2" t="s">
        <v>15</v>
      </c>
      <c r="C122" s="2" t="s">
        <v>156</v>
      </c>
      <c r="D122" s="2" t="s">
        <v>170</v>
      </c>
      <c r="E122" s="3" t="s">
        <v>192</v>
      </c>
    </row>
    <row r="123" spans="1:5" ht="32" x14ac:dyDescent="0.2">
      <c r="A123" s="2" t="s">
        <v>16</v>
      </c>
      <c r="B123" s="2" t="s">
        <v>28</v>
      </c>
      <c r="C123" s="2" t="s">
        <v>157</v>
      </c>
      <c r="D123" s="2" t="s">
        <v>172</v>
      </c>
      <c r="E123" s="3" t="s">
        <v>191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6BEBC-D374-B34F-8FA3-5CF9A5B10B7A}">
  <dimension ref="A3:D23"/>
  <sheetViews>
    <sheetView workbookViewId="0">
      <selection activeCell="A21" sqref="A21:C23"/>
    </sheetView>
  </sheetViews>
  <sheetFormatPr baseColWidth="10" defaultRowHeight="15" x14ac:dyDescent="0.2"/>
  <cols>
    <col min="1" max="1" width="13.6640625" customWidth="1"/>
    <col min="2" max="2" width="13.83203125" style="24" customWidth="1"/>
    <col min="3" max="3" width="11.83203125" customWidth="1"/>
    <col min="4" max="4" width="14.1640625" customWidth="1"/>
  </cols>
  <sheetData>
    <row r="3" spans="1:4" x14ac:dyDescent="0.2">
      <c r="A3" s="25" t="s">
        <v>275</v>
      </c>
      <c r="B3" s="26" t="s">
        <v>276</v>
      </c>
      <c r="C3" s="18" t="s">
        <v>282</v>
      </c>
      <c r="D3" s="18" t="s">
        <v>277</v>
      </c>
    </row>
    <row r="4" spans="1:4" x14ac:dyDescent="0.2">
      <c r="A4" s="25" t="s">
        <v>278</v>
      </c>
      <c r="B4" s="26">
        <v>5120468</v>
      </c>
      <c r="C4" s="18">
        <v>70</v>
      </c>
      <c r="D4" s="18">
        <v>99</v>
      </c>
    </row>
    <row r="5" spans="1:4" x14ac:dyDescent="0.2">
      <c r="A5" s="25" t="s">
        <v>279</v>
      </c>
      <c r="B5" s="26">
        <v>1097244</v>
      </c>
      <c r="C5" s="18">
        <v>15</v>
      </c>
      <c r="D5" s="18">
        <v>99</v>
      </c>
    </row>
    <row r="6" spans="1:4" x14ac:dyDescent="0.2">
      <c r="A6" s="25" t="s">
        <v>280</v>
      </c>
      <c r="B6" s="26">
        <v>1097244</v>
      </c>
      <c r="C6" s="18">
        <v>15</v>
      </c>
      <c r="D6" s="18">
        <v>99</v>
      </c>
    </row>
    <row r="7" spans="1:4" x14ac:dyDescent="0.2">
      <c r="A7" s="25" t="s">
        <v>281</v>
      </c>
      <c r="B7" s="26">
        <f>SUM(B4:B6)</f>
        <v>7314956</v>
      </c>
      <c r="C7" s="18">
        <v>100</v>
      </c>
      <c r="D7" s="18">
        <v>99</v>
      </c>
    </row>
    <row r="11" spans="1:4" x14ac:dyDescent="0.2">
      <c r="A11" s="29" t="s">
        <v>275</v>
      </c>
      <c r="B11" s="29" t="s">
        <v>285</v>
      </c>
      <c r="C11" s="30" t="s">
        <v>283</v>
      </c>
      <c r="D11" s="29" t="s">
        <v>286</v>
      </c>
    </row>
    <row r="12" spans="1:4" x14ac:dyDescent="0.2">
      <c r="A12" s="29" t="s">
        <v>278</v>
      </c>
      <c r="B12" s="29">
        <v>0</v>
      </c>
      <c r="C12" s="29">
        <v>4655082</v>
      </c>
      <c r="D12" s="29">
        <f>ROUND((C12/(C12+C13))*100,2)</f>
        <v>90.91</v>
      </c>
    </row>
    <row r="13" spans="1:4" x14ac:dyDescent="0.2">
      <c r="A13" s="29" t="s">
        <v>278</v>
      </c>
      <c r="B13" s="29">
        <v>1</v>
      </c>
      <c r="C13" s="29">
        <v>465386</v>
      </c>
      <c r="D13" s="29">
        <f>ROUND((C13/(C13+C12))*100,2)</f>
        <v>9.09</v>
      </c>
    </row>
    <row r="14" spans="1:4" x14ac:dyDescent="0.2">
      <c r="A14" s="29" t="s">
        <v>279</v>
      </c>
      <c r="B14" s="30">
        <v>0</v>
      </c>
      <c r="C14" s="29">
        <v>997519</v>
      </c>
      <c r="D14" s="29">
        <f>ROUND((C14/(C14+C15))*100,2)</f>
        <v>90.91</v>
      </c>
    </row>
    <row r="15" spans="1:4" x14ac:dyDescent="0.2">
      <c r="A15" s="29" t="s">
        <v>279</v>
      </c>
      <c r="B15" s="30">
        <v>1</v>
      </c>
      <c r="C15" s="29">
        <v>99725</v>
      </c>
      <c r="D15" s="29">
        <f>ROUND((C15/(C15+C14))*100,2)</f>
        <v>9.09</v>
      </c>
    </row>
    <row r="16" spans="1:4" x14ac:dyDescent="0.2">
      <c r="A16" s="29" t="s">
        <v>280</v>
      </c>
      <c r="B16" s="30">
        <v>0</v>
      </c>
      <c r="C16" s="29">
        <v>997518</v>
      </c>
      <c r="D16" s="29">
        <f>ROUND((C16/(C16+C17))*100,2)</f>
        <v>90.91</v>
      </c>
    </row>
    <row r="17" spans="1:4" x14ac:dyDescent="0.2">
      <c r="A17" s="29" t="s">
        <v>280</v>
      </c>
      <c r="B17" s="30">
        <v>1</v>
      </c>
      <c r="C17" s="29">
        <v>99726</v>
      </c>
      <c r="D17" s="29">
        <f>ROUND((C17/(C17+C16))*100,2)</f>
        <v>9.09</v>
      </c>
    </row>
    <row r="21" spans="1:4" x14ac:dyDescent="0.2">
      <c r="A21" s="18" t="s">
        <v>287</v>
      </c>
      <c r="B21" s="26" t="s">
        <v>283</v>
      </c>
      <c r="C21" s="18" t="s">
        <v>286</v>
      </c>
    </row>
    <row r="22" spans="1:4" x14ac:dyDescent="0.2">
      <c r="A22" s="18">
        <v>0</v>
      </c>
      <c r="B22" s="26">
        <v>6650119</v>
      </c>
      <c r="C22" s="18">
        <f>ROUND(B22/(B22+B23),2)*100</f>
        <v>91</v>
      </c>
    </row>
    <row r="23" spans="1:4" x14ac:dyDescent="0.2">
      <c r="A23" s="18">
        <v>1</v>
      </c>
      <c r="B23" s="26">
        <v>664837</v>
      </c>
      <c r="C23" s="18">
        <f>ROUND(B23/(B23+B22),2)*100</f>
        <v>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BEE57-1775-6043-8CB4-AB04C14B89D2}">
  <dimension ref="A1:DA41"/>
  <sheetViews>
    <sheetView zoomScale="40" zoomScaleNormal="40" workbookViewId="0">
      <selection activeCell="F1" sqref="F1:DH1"/>
    </sheetView>
  </sheetViews>
  <sheetFormatPr baseColWidth="10" defaultRowHeight="15" x14ac:dyDescent="0.2"/>
  <cols>
    <col min="1" max="1" width="11.83203125" customWidth="1"/>
    <col min="2" max="2" width="13.6640625" customWidth="1"/>
    <col min="6" max="6" width="136.1640625" customWidth="1"/>
  </cols>
  <sheetData>
    <row r="1" spans="1:105" ht="16" x14ac:dyDescent="0.2">
      <c r="A1" s="27" t="s">
        <v>284</v>
      </c>
      <c r="B1" s="28" t="s">
        <v>285</v>
      </c>
      <c r="C1" s="28" t="s">
        <v>283</v>
      </c>
      <c r="F1" s="20" t="s">
        <v>288</v>
      </c>
      <c r="G1" t="s">
        <v>289</v>
      </c>
      <c r="H1" t="s">
        <v>290</v>
      </c>
      <c r="I1" t="s">
        <v>291</v>
      </c>
      <c r="J1" t="s">
        <v>292</v>
      </c>
      <c r="K1" t="s">
        <v>293</v>
      </c>
      <c r="L1" t="s">
        <v>294</v>
      </c>
      <c r="M1" t="s">
        <v>295</v>
      </c>
      <c r="N1" t="s">
        <v>296</v>
      </c>
      <c r="O1" t="s">
        <v>297</v>
      </c>
      <c r="P1" t="s">
        <v>298</v>
      </c>
      <c r="Q1" t="s">
        <v>299</v>
      </c>
      <c r="R1" t="s">
        <v>300</v>
      </c>
      <c r="S1" t="s">
        <v>301</v>
      </c>
      <c r="T1" t="s">
        <v>302</v>
      </c>
      <c r="U1" t="s">
        <v>303</v>
      </c>
      <c r="V1" t="s">
        <v>304</v>
      </c>
      <c r="W1" t="s">
        <v>305</v>
      </c>
      <c r="X1" t="s">
        <v>306</v>
      </c>
      <c r="Y1" t="s">
        <v>307</v>
      </c>
      <c r="Z1" t="s">
        <v>308</v>
      </c>
      <c r="AA1" t="s">
        <v>309</v>
      </c>
      <c r="AB1" t="s">
        <v>310</v>
      </c>
      <c r="AC1" t="s">
        <v>311</v>
      </c>
      <c r="AD1" t="s">
        <v>312</v>
      </c>
      <c r="AE1" t="s">
        <v>313</v>
      </c>
      <c r="AF1" t="s">
        <v>314</v>
      </c>
      <c r="AG1" t="s">
        <v>315</v>
      </c>
      <c r="AH1" t="s">
        <v>316</v>
      </c>
      <c r="AI1" t="s">
        <v>317</v>
      </c>
      <c r="AJ1" t="s">
        <v>318</v>
      </c>
      <c r="AK1" t="s">
        <v>319</v>
      </c>
      <c r="AL1" t="s">
        <v>320</v>
      </c>
      <c r="AM1" t="s">
        <v>321</v>
      </c>
      <c r="AN1" t="s">
        <v>322</v>
      </c>
      <c r="AO1" t="s">
        <v>323</v>
      </c>
      <c r="AP1" t="s">
        <v>324</v>
      </c>
      <c r="AQ1" t="s">
        <v>325</v>
      </c>
      <c r="AR1" t="s">
        <v>326</v>
      </c>
      <c r="AS1" t="s">
        <v>327</v>
      </c>
      <c r="AT1" t="s">
        <v>328</v>
      </c>
      <c r="AU1" t="s">
        <v>329</v>
      </c>
      <c r="AV1" t="s">
        <v>330</v>
      </c>
      <c r="AW1" t="s">
        <v>331</v>
      </c>
      <c r="AX1" t="s">
        <v>332</v>
      </c>
      <c r="AY1" t="s">
        <v>333</v>
      </c>
      <c r="AZ1" t="s">
        <v>334</v>
      </c>
      <c r="BA1" t="s">
        <v>335</v>
      </c>
      <c r="BB1" t="s">
        <v>336</v>
      </c>
      <c r="BC1" t="s">
        <v>337</v>
      </c>
      <c r="BD1" t="s">
        <v>338</v>
      </c>
      <c r="BE1" t="s">
        <v>339</v>
      </c>
      <c r="BF1" t="s">
        <v>340</v>
      </c>
      <c r="BG1" t="s">
        <v>341</v>
      </c>
      <c r="BH1" t="s">
        <v>342</v>
      </c>
      <c r="BI1" t="s">
        <v>343</v>
      </c>
      <c r="BJ1" t="s">
        <v>344</v>
      </c>
      <c r="BK1" t="s">
        <v>345</v>
      </c>
      <c r="BL1" t="s">
        <v>346</v>
      </c>
      <c r="BM1" t="s">
        <v>347</v>
      </c>
      <c r="BN1" t="s">
        <v>348</v>
      </c>
      <c r="BO1" t="s">
        <v>349</v>
      </c>
      <c r="BP1" t="s">
        <v>350</v>
      </c>
      <c r="BQ1" t="s">
        <v>351</v>
      </c>
      <c r="BR1" t="s">
        <v>352</v>
      </c>
      <c r="BS1" t="s">
        <v>353</v>
      </c>
      <c r="BT1" t="s">
        <v>354</v>
      </c>
      <c r="BU1" t="s">
        <v>355</v>
      </c>
      <c r="BV1" t="s">
        <v>356</v>
      </c>
      <c r="BW1" t="s">
        <v>357</v>
      </c>
      <c r="BX1" t="s">
        <v>358</v>
      </c>
      <c r="BY1" t="s">
        <v>359</v>
      </c>
      <c r="BZ1" t="s">
        <v>360</v>
      </c>
      <c r="CA1" t="s">
        <v>361</v>
      </c>
      <c r="CB1" t="s">
        <v>362</v>
      </c>
      <c r="CC1" t="s">
        <v>363</v>
      </c>
      <c r="CD1" t="s">
        <v>364</v>
      </c>
      <c r="CE1" t="s">
        <v>365</v>
      </c>
      <c r="CF1" t="s">
        <v>366</v>
      </c>
      <c r="CG1" t="s">
        <v>367</v>
      </c>
      <c r="CH1" t="s">
        <v>368</v>
      </c>
      <c r="CI1" t="s">
        <v>369</v>
      </c>
      <c r="CJ1" t="s">
        <v>370</v>
      </c>
      <c r="CK1" t="s">
        <v>371</v>
      </c>
      <c r="CL1" t="s">
        <v>372</v>
      </c>
      <c r="CM1" t="s">
        <v>373</v>
      </c>
      <c r="CN1" t="s">
        <v>374</v>
      </c>
      <c r="CO1" t="s">
        <v>375</v>
      </c>
      <c r="CP1" t="s">
        <v>376</v>
      </c>
      <c r="CQ1" t="s">
        <v>377</v>
      </c>
      <c r="CR1" t="s">
        <v>378</v>
      </c>
      <c r="CS1" t="s">
        <v>379</v>
      </c>
      <c r="CT1" t="s">
        <v>380</v>
      </c>
      <c r="CU1" t="s">
        <v>381</v>
      </c>
      <c r="CV1" t="s">
        <v>382</v>
      </c>
      <c r="CW1" t="s">
        <v>383</v>
      </c>
      <c r="CX1" t="s">
        <v>384</v>
      </c>
      <c r="CY1" t="s">
        <v>385</v>
      </c>
      <c r="CZ1" t="s">
        <v>386</v>
      </c>
      <c r="DA1" t="s">
        <v>387</v>
      </c>
    </row>
    <row r="2" spans="1:105" ht="16" x14ac:dyDescent="0.2">
      <c r="A2" s="27">
        <v>2005</v>
      </c>
      <c r="B2" s="28">
        <v>0</v>
      </c>
      <c r="C2" s="28">
        <v>236967</v>
      </c>
    </row>
    <row r="3" spans="1:105" ht="16" x14ac:dyDescent="0.2">
      <c r="A3" s="27">
        <v>2005</v>
      </c>
      <c r="B3" s="28">
        <v>1</v>
      </c>
      <c r="C3" s="28">
        <v>15254</v>
      </c>
    </row>
    <row r="4" spans="1:105" ht="16" x14ac:dyDescent="0.2">
      <c r="A4" s="27">
        <v>2006</v>
      </c>
      <c r="B4" s="28">
        <v>0</v>
      </c>
      <c r="C4" s="28">
        <v>238747</v>
      </c>
    </row>
    <row r="5" spans="1:105" ht="16" x14ac:dyDescent="0.2">
      <c r="A5" s="27">
        <v>2006</v>
      </c>
      <c r="B5" s="28">
        <v>1</v>
      </c>
      <c r="C5" s="28">
        <v>15748</v>
      </c>
    </row>
    <row r="6" spans="1:105" ht="16" x14ac:dyDescent="0.2">
      <c r="A6" s="27">
        <v>2007</v>
      </c>
      <c r="B6" s="28">
        <v>0</v>
      </c>
      <c r="C6" s="28">
        <v>242403</v>
      </c>
    </row>
    <row r="7" spans="1:105" ht="16" x14ac:dyDescent="0.2">
      <c r="A7" s="27">
        <v>2007</v>
      </c>
      <c r="B7" s="28">
        <v>1</v>
      </c>
      <c r="C7" s="28">
        <v>16439</v>
      </c>
    </row>
    <row r="8" spans="1:105" ht="16" x14ac:dyDescent="0.2">
      <c r="A8" s="27">
        <v>2008</v>
      </c>
      <c r="B8" s="28">
        <v>0</v>
      </c>
      <c r="C8" s="28">
        <v>244657</v>
      </c>
    </row>
    <row r="9" spans="1:105" ht="16" x14ac:dyDescent="0.2">
      <c r="A9" s="27">
        <v>2008</v>
      </c>
      <c r="B9" s="28">
        <v>1</v>
      </c>
      <c r="C9" s="28">
        <v>17293</v>
      </c>
    </row>
    <row r="10" spans="1:105" ht="16" x14ac:dyDescent="0.2">
      <c r="A10" s="27">
        <v>2009</v>
      </c>
      <c r="B10" s="28">
        <v>0</v>
      </c>
      <c r="C10" s="28">
        <v>254571</v>
      </c>
    </row>
    <row r="11" spans="1:105" ht="16" x14ac:dyDescent="0.2">
      <c r="A11" s="27">
        <v>2009</v>
      </c>
      <c r="B11" s="28">
        <v>1</v>
      </c>
      <c r="C11" s="28">
        <v>19747</v>
      </c>
    </row>
    <row r="12" spans="1:105" ht="16" x14ac:dyDescent="0.2">
      <c r="A12" s="27">
        <v>2010</v>
      </c>
      <c r="B12" s="28">
        <v>0</v>
      </c>
      <c r="C12" s="28">
        <v>263406</v>
      </c>
    </row>
    <row r="13" spans="1:105" ht="16" x14ac:dyDescent="0.2">
      <c r="A13" s="27">
        <v>2010</v>
      </c>
      <c r="B13" s="28">
        <v>1</v>
      </c>
      <c r="C13" s="28">
        <v>20564</v>
      </c>
    </row>
    <row r="14" spans="1:105" ht="16" x14ac:dyDescent="0.2">
      <c r="A14" s="27">
        <v>2011</v>
      </c>
      <c r="B14" s="28">
        <v>0</v>
      </c>
      <c r="C14" s="28">
        <v>257017</v>
      </c>
    </row>
    <row r="15" spans="1:105" ht="16" x14ac:dyDescent="0.2">
      <c r="A15" s="27">
        <v>2011</v>
      </c>
      <c r="B15" s="28">
        <v>1</v>
      </c>
      <c r="C15" s="28">
        <v>20500</v>
      </c>
    </row>
    <row r="16" spans="1:105" ht="16" x14ac:dyDescent="0.2">
      <c r="A16" s="27">
        <v>2012</v>
      </c>
      <c r="B16" s="28">
        <v>0</v>
      </c>
      <c r="C16" s="28">
        <v>254802</v>
      </c>
    </row>
    <row r="17" spans="1:3" ht="16" x14ac:dyDescent="0.2">
      <c r="A17" s="27">
        <v>2012</v>
      </c>
      <c r="B17" s="28">
        <v>1</v>
      </c>
      <c r="C17" s="28">
        <v>21240</v>
      </c>
    </row>
    <row r="18" spans="1:3" ht="16" x14ac:dyDescent="0.2">
      <c r="A18" s="27">
        <v>2013</v>
      </c>
      <c r="B18" s="28">
        <v>0</v>
      </c>
      <c r="C18" s="28">
        <v>241922</v>
      </c>
    </row>
    <row r="19" spans="1:3" ht="16" x14ac:dyDescent="0.2">
      <c r="A19" s="27">
        <v>2013</v>
      </c>
      <c r="B19" s="28">
        <v>1</v>
      </c>
      <c r="C19" s="28">
        <v>21896</v>
      </c>
    </row>
    <row r="20" spans="1:3" ht="16" x14ac:dyDescent="0.2">
      <c r="A20" s="27">
        <v>2014</v>
      </c>
      <c r="B20" s="28">
        <v>0</v>
      </c>
      <c r="C20" s="28">
        <v>236169</v>
      </c>
    </row>
    <row r="21" spans="1:3" ht="16" x14ac:dyDescent="0.2">
      <c r="A21" s="27">
        <v>2014</v>
      </c>
      <c r="B21" s="28">
        <v>1</v>
      </c>
      <c r="C21" s="28">
        <v>21056</v>
      </c>
    </row>
    <row r="22" spans="1:3" ht="16" x14ac:dyDescent="0.2">
      <c r="A22" s="27">
        <v>2015</v>
      </c>
      <c r="B22" s="28">
        <v>0</v>
      </c>
      <c r="C22" s="28">
        <v>229419</v>
      </c>
    </row>
    <row r="23" spans="1:3" ht="16" x14ac:dyDescent="0.2">
      <c r="A23" s="27">
        <v>2015</v>
      </c>
      <c r="B23" s="28">
        <v>1</v>
      </c>
      <c r="C23" s="28">
        <v>21950</v>
      </c>
    </row>
    <row r="24" spans="1:3" ht="16" x14ac:dyDescent="0.2">
      <c r="A24" s="27">
        <v>2016</v>
      </c>
      <c r="B24" s="28">
        <v>0</v>
      </c>
      <c r="C24" s="28">
        <v>238688</v>
      </c>
    </row>
    <row r="25" spans="1:3" ht="16" x14ac:dyDescent="0.2">
      <c r="A25" s="27">
        <v>2016</v>
      </c>
      <c r="B25" s="28">
        <v>1</v>
      </c>
      <c r="C25" s="28">
        <v>23927</v>
      </c>
    </row>
    <row r="26" spans="1:3" ht="16" x14ac:dyDescent="0.2">
      <c r="A26" s="27">
        <v>2017</v>
      </c>
      <c r="B26" s="28">
        <v>0</v>
      </c>
      <c r="C26" s="28">
        <v>244791</v>
      </c>
    </row>
    <row r="27" spans="1:3" ht="16" x14ac:dyDescent="0.2">
      <c r="A27" s="27">
        <v>2017</v>
      </c>
      <c r="B27" s="28">
        <v>1</v>
      </c>
      <c r="C27" s="28">
        <v>26011</v>
      </c>
    </row>
    <row r="28" spans="1:3" ht="16" x14ac:dyDescent="0.2">
      <c r="A28" s="27">
        <v>2018</v>
      </c>
      <c r="B28" s="28">
        <v>0</v>
      </c>
      <c r="C28" s="28">
        <v>225755</v>
      </c>
    </row>
    <row r="29" spans="1:3" ht="16" x14ac:dyDescent="0.2">
      <c r="A29" s="27">
        <v>2018</v>
      </c>
      <c r="B29" s="28">
        <v>1</v>
      </c>
      <c r="C29" s="28">
        <v>27390</v>
      </c>
    </row>
    <row r="30" spans="1:3" ht="16" x14ac:dyDescent="0.2">
      <c r="A30" s="27">
        <v>2019</v>
      </c>
      <c r="B30" s="28">
        <v>0</v>
      </c>
      <c r="C30" s="28">
        <v>223061</v>
      </c>
    </row>
    <row r="31" spans="1:3" ht="16" x14ac:dyDescent="0.2">
      <c r="A31" s="27">
        <v>2019</v>
      </c>
      <c r="B31" s="28">
        <v>1</v>
      </c>
      <c r="C31" s="28">
        <v>28016</v>
      </c>
    </row>
    <row r="32" spans="1:3" ht="16" x14ac:dyDescent="0.2">
      <c r="A32" s="27">
        <v>2020</v>
      </c>
      <c r="B32" s="28">
        <v>0</v>
      </c>
      <c r="C32" s="28">
        <v>187255</v>
      </c>
    </row>
    <row r="33" spans="1:3" ht="16" x14ac:dyDescent="0.2">
      <c r="A33" s="27">
        <v>2020</v>
      </c>
      <c r="B33" s="28">
        <v>1</v>
      </c>
      <c r="C33" s="28">
        <v>29286</v>
      </c>
    </row>
    <row r="34" spans="1:3" ht="16" x14ac:dyDescent="0.2">
      <c r="A34" s="27">
        <v>2021</v>
      </c>
      <c r="B34" s="28">
        <v>0</v>
      </c>
      <c r="C34" s="28">
        <v>208390</v>
      </c>
    </row>
    <row r="35" spans="1:3" ht="16" x14ac:dyDescent="0.2">
      <c r="A35" s="27">
        <v>2021</v>
      </c>
      <c r="B35" s="28">
        <v>1</v>
      </c>
      <c r="C35" s="28">
        <v>29897</v>
      </c>
    </row>
    <row r="36" spans="1:3" ht="16" x14ac:dyDescent="0.2">
      <c r="A36" s="27">
        <v>2022</v>
      </c>
      <c r="B36" s="28">
        <v>0</v>
      </c>
      <c r="C36" s="28">
        <v>198672</v>
      </c>
    </row>
    <row r="37" spans="1:3" ht="16" x14ac:dyDescent="0.2">
      <c r="A37" s="27">
        <v>2022</v>
      </c>
      <c r="B37" s="28">
        <v>1</v>
      </c>
      <c r="C37" s="28">
        <v>27652</v>
      </c>
    </row>
    <row r="38" spans="1:3" ht="16" x14ac:dyDescent="0.2">
      <c r="A38" s="27">
        <v>2023</v>
      </c>
      <c r="B38" s="28">
        <v>0</v>
      </c>
      <c r="C38" s="28">
        <v>207123</v>
      </c>
    </row>
    <row r="39" spans="1:3" ht="16" x14ac:dyDescent="0.2">
      <c r="A39" s="27">
        <v>2023</v>
      </c>
      <c r="B39" s="28">
        <v>1</v>
      </c>
      <c r="C39" s="28">
        <v>29635</v>
      </c>
    </row>
    <row r="40" spans="1:3" ht="16" x14ac:dyDescent="0.2">
      <c r="A40" s="27">
        <v>2024</v>
      </c>
      <c r="B40" s="28">
        <v>0</v>
      </c>
      <c r="C40" s="28">
        <v>221267</v>
      </c>
    </row>
    <row r="41" spans="1:3" ht="16" x14ac:dyDescent="0.2">
      <c r="A41" s="27">
        <v>2024</v>
      </c>
      <c r="B41" s="28">
        <v>1</v>
      </c>
      <c r="C41" s="28">
        <v>31885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0E547-8375-0A40-9F74-47ECA5CBFCA4}">
  <dimension ref="A1:CV114"/>
  <sheetViews>
    <sheetView topLeftCell="A85" workbookViewId="0">
      <selection activeCell="A110" sqref="A110:A114"/>
    </sheetView>
  </sheetViews>
  <sheetFormatPr baseColWidth="10" defaultRowHeight="15" x14ac:dyDescent="0.2"/>
  <cols>
    <col min="1" max="1" width="35.5" bestFit="1" customWidth="1"/>
    <col min="2" max="30" width="16.5" bestFit="1" customWidth="1"/>
    <col min="31" max="31" width="16" bestFit="1" customWidth="1"/>
    <col min="32" max="56" width="17.1640625" bestFit="1" customWidth="1"/>
    <col min="57" max="65" width="14.83203125" bestFit="1" customWidth="1"/>
    <col min="66" max="66" width="19.5" bestFit="1" customWidth="1"/>
    <col min="67" max="91" width="20.5" bestFit="1" customWidth="1"/>
    <col min="92" max="92" width="25.1640625" bestFit="1" customWidth="1"/>
    <col min="93" max="93" width="24.1640625" bestFit="1" customWidth="1"/>
    <col min="94" max="94" width="35.6640625" bestFit="1" customWidth="1"/>
    <col min="95" max="95" width="33.1640625" bestFit="1" customWidth="1"/>
    <col min="96" max="96" width="35.6640625" bestFit="1" customWidth="1"/>
    <col min="97" max="97" width="25.5" bestFit="1" customWidth="1"/>
    <col min="98" max="98" width="3.83203125" bestFit="1" customWidth="1"/>
    <col min="99" max="99" width="20" bestFit="1" customWidth="1"/>
    <col min="100" max="100" width="19.83203125" bestFit="1" customWidth="1"/>
  </cols>
  <sheetData>
    <row r="1" spans="1:100" x14ac:dyDescent="0.2">
      <c r="A1" t="s">
        <v>390</v>
      </c>
      <c r="B1" t="s">
        <v>391</v>
      </c>
      <c r="C1" t="s">
        <v>392</v>
      </c>
      <c r="D1" t="s">
        <v>393</v>
      </c>
      <c r="E1" t="s">
        <v>394</v>
      </c>
      <c r="F1" t="s">
        <v>395</v>
      </c>
      <c r="G1" t="s">
        <v>396</v>
      </c>
      <c r="H1" t="s">
        <v>397</v>
      </c>
      <c r="I1" t="s">
        <v>398</v>
      </c>
      <c r="J1" t="s">
        <v>399</v>
      </c>
      <c r="K1" t="s">
        <v>400</v>
      </c>
      <c r="L1" t="s">
        <v>401</v>
      </c>
      <c r="M1" t="s">
        <v>402</v>
      </c>
      <c r="N1" t="s">
        <v>403</v>
      </c>
      <c r="O1" t="s">
        <v>404</v>
      </c>
      <c r="P1" t="s">
        <v>405</v>
      </c>
      <c r="Q1" t="s">
        <v>406</v>
      </c>
      <c r="R1" t="s">
        <v>407</v>
      </c>
      <c r="S1" t="s">
        <v>408</v>
      </c>
      <c r="T1" t="s">
        <v>409</v>
      </c>
      <c r="U1" t="s">
        <v>410</v>
      </c>
      <c r="V1" t="s">
        <v>411</v>
      </c>
      <c r="W1" t="s">
        <v>412</v>
      </c>
      <c r="X1" t="s">
        <v>413</v>
      </c>
      <c r="Y1" t="s">
        <v>414</v>
      </c>
      <c r="Z1" t="s">
        <v>415</v>
      </c>
      <c r="AA1" t="s">
        <v>416</v>
      </c>
      <c r="AB1" t="s">
        <v>417</v>
      </c>
      <c r="AC1" t="s">
        <v>418</v>
      </c>
      <c r="AD1" t="s">
        <v>419</v>
      </c>
      <c r="AE1" t="s">
        <v>420</v>
      </c>
      <c r="AF1" t="s">
        <v>421</v>
      </c>
      <c r="AG1" t="s">
        <v>422</v>
      </c>
      <c r="AH1" t="s">
        <v>423</v>
      </c>
      <c r="AI1" t="s">
        <v>424</v>
      </c>
      <c r="AJ1" t="s">
        <v>425</v>
      </c>
      <c r="AK1" t="s">
        <v>426</v>
      </c>
      <c r="AL1" t="s">
        <v>427</v>
      </c>
      <c r="AM1" t="s">
        <v>428</v>
      </c>
      <c r="AN1" t="s">
        <v>429</v>
      </c>
      <c r="AO1" t="s">
        <v>430</v>
      </c>
      <c r="AP1" t="s">
        <v>431</v>
      </c>
      <c r="AQ1" t="s">
        <v>432</v>
      </c>
      <c r="AR1" t="s">
        <v>433</v>
      </c>
      <c r="AS1" t="s">
        <v>434</v>
      </c>
      <c r="AT1" t="s">
        <v>435</v>
      </c>
      <c r="AU1" t="s">
        <v>436</v>
      </c>
      <c r="AV1" t="s">
        <v>437</v>
      </c>
      <c r="AW1" t="s">
        <v>438</v>
      </c>
      <c r="AX1" t="s">
        <v>439</v>
      </c>
      <c r="AY1" t="s">
        <v>440</v>
      </c>
      <c r="AZ1" t="s">
        <v>441</v>
      </c>
      <c r="BA1" t="s">
        <v>442</v>
      </c>
      <c r="BB1" t="s">
        <v>443</v>
      </c>
      <c r="BC1" t="s">
        <v>444</v>
      </c>
      <c r="BD1" t="s">
        <v>445</v>
      </c>
      <c r="BE1" t="s">
        <v>446</v>
      </c>
      <c r="BF1" t="s">
        <v>447</v>
      </c>
      <c r="BG1" t="s">
        <v>448</v>
      </c>
      <c r="BH1" t="s">
        <v>449</v>
      </c>
      <c r="BI1" t="s">
        <v>450</v>
      </c>
      <c r="BJ1" t="s">
        <v>451</v>
      </c>
      <c r="BK1" t="s">
        <v>452</v>
      </c>
      <c r="BL1" t="s">
        <v>453</v>
      </c>
      <c r="BM1" t="s">
        <v>454</v>
      </c>
      <c r="BN1" t="s">
        <v>455</v>
      </c>
      <c r="BO1" t="s">
        <v>456</v>
      </c>
      <c r="BP1" t="s">
        <v>457</v>
      </c>
      <c r="BQ1" t="s">
        <v>458</v>
      </c>
      <c r="BR1" t="s">
        <v>459</v>
      </c>
      <c r="BS1" t="s">
        <v>460</v>
      </c>
      <c r="BT1" t="s">
        <v>461</v>
      </c>
      <c r="BU1" t="s">
        <v>462</v>
      </c>
      <c r="BV1" t="s">
        <v>463</v>
      </c>
      <c r="BW1" t="s">
        <v>464</v>
      </c>
      <c r="BX1" t="s">
        <v>465</v>
      </c>
      <c r="BY1" t="s">
        <v>466</v>
      </c>
      <c r="BZ1" t="s">
        <v>467</v>
      </c>
      <c r="CA1" t="s">
        <v>468</v>
      </c>
      <c r="CB1" t="s">
        <v>469</v>
      </c>
      <c r="CC1" t="s">
        <v>470</v>
      </c>
      <c r="CD1" t="s">
        <v>471</v>
      </c>
      <c r="CE1" t="s">
        <v>472</v>
      </c>
      <c r="CF1" t="s">
        <v>473</v>
      </c>
      <c r="CG1" t="s">
        <v>474</v>
      </c>
      <c r="CH1" t="s">
        <v>475</v>
      </c>
      <c r="CI1" t="s">
        <v>476</v>
      </c>
      <c r="CJ1" t="s">
        <v>477</v>
      </c>
      <c r="CK1" t="s">
        <v>478</v>
      </c>
      <c r="CL1" t="s">
        <v>479</v>
      </c>
      <c r="CM1" t="s">
        <v>480</v>
      </c>
      <c r="CN1" t="s">
        <v>481</v>
      </c>
      <c r="CO1" t="s">
        <v>482</v>
      </c>
      <c r="CP1" t="s">
        <v>483</v>
      </c>
      <c r="CQ1" t="s">
        <v>484</v>
      </c>
      <c r="CR1" t="s">
        <v>485</v>
      </c>
      <c r="CS1" t="s">
        <v>388</v>
      </c>
      <c r="CT1" t="s">
        <v>486</v>
      </c>
      <c r="CU1" t="s">
        <v>487</v>
      </c>
      <c r="CV1" t="s">
        <v>389</v>
      </c>
    </row>
    <row r="4" spans="1:100" x14ac:dyDescent="0.2">
      <c r="A4" t="s">
        <v>488</v>
      </c>
    </row>
    <row r="5" spans="1:100" x14ac:dyDescent="0.2">
      <c r="A5" t="s">
        <v>390</v>
      </c>
    </row>
    <row r="6" spans="1:100" x14ac:dyDescent="0.2">
      <c r="A6" t="s">
        <v>391</v>
      </c>
    </row>
    <row r="7" spans="1:100" x14ac:dyDescent="0.2">
      <c r="A7" t="s">
        <v>392</v>
      </c>
    </row>
    <row r="8" spans="1:100" x14ac:dyDescent="0.2">
      <c r="A8" t="s">
        <v>393</v>
      </c>
    </row>
    <row r="9" spans="1:100" x14ac:dyDescent="0.2">
      <c r="A9" t="s">
        <v>394</v>
      </c>
    </row>
    <row r="10" spans="1:100" x14ac:dyDescent="0.2">
      <c r="A10" t="s">
        <v>395</v>
      </c>
    </row>
    <row r="11" spans="1:100" x14ac:dyDescent="0.2">
      <c r="A11" t="s">
        <v>396</v>
      </c>
    </row>
    <row r="12" spans="1:100" x14ac:dyDescent="0.2">
      <c r="A12" t="s">
        <v>397</v>
      </c>
    </row>
    <row r="13" spans="1:100" x14ac:dyDescent="0.2">
      <c r="A13" t="s">
        <v>398</v>
      </c>
    </row>
    <row r="14" spans="1:100" x14ac:dyDescent="0.2">
      <c r="A14" t="s">
        <v>399</v>
      </c>
    </row>
    <row r="15" spans="1:100" x14ac:dyDescent="0.2">
      <c r="A15" t="s">
        <v>400</v>
      </c>
    </row>
    <row r="16" spans="1:100" x14ac:dyDescent="0.2">
      <c r="A16" t="s">
        <v>401</v>
      </c>
    </row>
    <row r="17" spans="1:1" x14ac:dyDescent="0.2">
      <c r="A17" t="s">
        <v>402</v>
      </c>
    </row>
    <row r="18" spans="1:1" x14ac:dyDescent="0.2">
      <c r="A18" t="s">
        <v>403</v>
      </c>
    </row>
    <row r="19" spans="1:1" x14ac:dyDescent="0.2">
      <c r="A19" t="s">
        <v>404</v>
      </c>
    </row>
    <row r="20" spans="1:1" x14ac:dyDescent="0.2">
      <c r="A20" t="s">
        <v>405</v>
      </c>
    </row>
    <row r="21" spans="1:1" x14ac:dyDescent="0.2">
      <c r="A21" t="s">
        <v>406</v>
      </c>
    </row>
    <row r="22" spans="1:1" x14ac:dyDescent="0.2">
      <c r="A22" t="s">
        <v>407</v>
      </c>
    </row>
    <row r="23" spans="1:1" x14ac:dyDescent="0.2">
      <c r="A23" t="s">
        <v>408</v>
      </c>
    </row>
    <row r="24" spans="1:1" x14ac:dyDescent="0.2">
      <c r="A24" t="s">
        <v>409</v>
      </c>
    </row>
    <row r="25" spans="1:1" x14ac:dyDescent="0.2">
      <c r="A25" t="s">
        <v>410</v>
      </c>
    </row>
    <row r="26" spans="1:1" x14ac:dyDescent="0.2">
      <c r="A26" t="s">
        <v>411</v>
      </c>
    </row>
    <row r="27" spans="1:1" x14ac:dyDescent="0.2">
      <c r="A27" t="s">
        <v>412</v>
      </c>
    </row>
    <row r="28" spans="1:1" x14ac:dyDescent="0.2">
      <c r="A28" t="s">
        <v>413</v>
      </c>
    </row>
    <row r="29" spans="1:1" x14ac:dyDescent="0.2">
      <c r="A29" t="s">
        <v>414</v>
      </c>
    </row>
    <row r="30" spans="1:1" x14ac:dyDescent="0.2">
      <c r="A30" t="s">
        <v>415</v>
      </c>
    </row>
    <row r="31" spans="1:1" x14ac:dyDescent="0.2">
      <c r="A31" t="s">
        <v>416</v>
      </c>
    </row>
    <row r="32" spans="1:1" x14ac:dyDescent="0.2">
      <c r="A32" t="s">
        <v>417</v>
      </c>
    </row>
    <row r="33" spans="1:1" x14ac:dyDescent="0.2">
      <c r="A33" t="s">
        <v>418</v>
      </c>
    </row>
    <row r="34" spans="1:1" x14ac:dyDescent="0.2">
      <c r="A34" t="s">
        <v>419</v>
      </c>
    </row>
    <row r="35" spans="1:1" x14ac:dyDescent="0.2">
      <c r="A35" t="s">
        <v>420</v>
      </c>
    </row>
    <row r="36" spans="1:1" x14ac:dyDescent="0.2">
      <c r="A36" t="s">
        <v>421</v>
      </c>
    </row>
    <row r="37" spans="1:1" x14ac:dyDescent="0.2">
      <c r="A37" t="s">
        <v>422</v>
      </c>
    </row>
    <row r="38" spans="1:1" x14ac:dyDescent="0.2">
      <c r="A38" t="s">
        <v>423</v>
      </c>
    </row>
    <row r="39" spans="1:1" x14ac:dyDescent="0.2">
      <c r="A39" t="s">
        <v>424</v>
      </c>
    </row>
    <row r="40" spans="1:1" x14ac:dyDescent="0.2">
      <c r="A40" t="s">
        <v>425</v>
      </c>
    </row>
    <row r="41" spans="1:1" x14ac:dyDescent="0.2">
      <c r="A41" t="s">
        <v>426</v>
      </c>
    </row>
    <row r="42" spans="1:1" x14ac:dyDescent="0.2">
      <c r="A42" t="s">
        <v>427</v>
      </c>
    </row>
    <row r="43" spans="1:1" x14ac:dyDescent="0.2">
      <c r="A43" t="s">
        <v>428</v>
      </c>
    </row>
    <row r="44" spans="1:1" x14ac:dyDescent="0.2">
      <c r="A44" t="s">
        <v>429</v>
      </c>
    </row>
    <row r="45" spans="1:1" x14ac:dyDescent="0.2">
      <c r="A45" t="s">
        <v>430</v>
      </c>
    </row>
    <row r="46" spans="1:1" x14ac:dyDescent="0.2">
      <c r="A46" t="s">
        <v>431</v>
      </c>
    </row>
    <row r="47" spans="1:1" x14ac:dyDescent="0.2">
      <c r="A47" t="s">
        <v>432</v>
      </c>
    </row>
    <row r="48" spans="1:1" x14ac:dyDescent="0.2">
      <c r="A48" t="s">
        <v>433</v>
      </c>
    </row>
    <row r="49" spans="1:1" x14ac:dyDescent="0.2">
      <c r="A49" t="s">
        <v>434</v>
      </c>
    </row>
    <row r="50" spans="1:1" x14ac:dyDescent="0.2">
      <c r="A50" t="s">
        <v>435</v>
      </c>
    </row>
    <row r="51" spans="1:1" x14ac:dyDescent="0.2">
      <c r="A51" t="s">
        <v>436</v>
      </c>
    </row>
    <row r="52" spans="1:1" x14ac:dyDescent="0.2">
      <c r="A52" t="s">
        <v>437</v>
      </c>
    </row>
    <row r="53" spans="1:1" x14ac:dyDescent="0.2">
      <c r="A53" t="s">
        <v>438</v>
      </c>
    </row>
    <row r="54" spans="1:1" x14ac:dyDescent="0.2">
      <c r="A54" t="s">
        <v>439</v>
      </c>
    </row>
    <row r="55" spans="1:1" x14ac:dyDescent="0.2">
      <c r="A55" t="s">
        <v>440</v>
      </c>
    </row>
    <row r="56" spans="1:1" x14ac:dyDescent="0.2">
      <c r="A56" t="s">
        <v>441</v>
      </c>
    </row>
    <row r="57" spans="1:1" x14ac:dyDescent="0.2">
      <c r="A57" t="s">
        <v>442</v>
      </c>
    </row>
    <row r="58" spans="1:1" x14ac:dyDescent="0.2">
      <c r="A58" t="s">
        <v>443</v>
      </c>
    </row>
    <row r="59" spans="1:1" x14ac:dyDescent="0.2">
      <c r="A59" t="s">
        <v>444</v>
      </c>
    </row>
    <row r="60" spans="1:1" x14ac:dyDescent="0.2">
      <c r="A60" t="s">
        <v>445</v>
      </c>
    </row>
    <row r="61" spans="1:1" x14ac:dyDescent="0.2">
      <c r="A61" t="s">
        <v>446</v>
      </c>
    </row>
    <row r="62" spans="1:1" x14ac:dyDescent="0.2">
      <c r="A62" t="s">
        <v>447</v>
      </c>
    </row>
    <row r="63" spans="1:1" x14ac:dyDescent="0.2">
      <c r="A63" t="s">
        <v>448</v>
      </c>
    </row>
    <row r="64" spans="1:1" x14ac:dyDescent="0.2">
      <c r="A64" t="s">
        <v>449</v>
      </c>
    </row>
    <row r="65" spans="1:1" x14ac:dyDescent="0.2">
      <c r="A65" t="s">
        <v>450</v>
      </c>
    </row>
    <row r="66" spans="1:1" x14ac:dyDescent="0.2">
      <c r="A66" t="s">
        <v>451</v>
      </c>
    </row>
    <row r="67" spans="1:1" x14ac:dyDescent="0.2">
      <c r="A67" t="s">
        <v>452</v>
      </c>
    </row>
    <row r="68" spans="1:1" x14ac:dyDescent="0.2">
      <c r="A68" t="s">
        <v>453</v>
      </c>
    </row>
    <row r="69" spans="1:1" x14ac:dyDescent="0.2">
      <c r="A69" t="s">
        <v>454</v>
      </c>
    </row>
    <row r="70" spans="1:1" x14ac:dyDescent="0.2">
      <c r="A70" t="s">
        <v>455</v>
      </c>
    </row>
    <row r="71" spans="1:1" x14ac:dyDescent="0.2">
      <c r="A71" t="s">
        <v>456</v>
      </c>
    </row>
    <row r="72" spans="1:1" x14ac:dyDescent="0.2">
      <c r="A72" t="s">
        <v>457</v>
      </c>
    </row>
    <row r="73" spans="1:1" x14ac:dyDescent="0.2">
      <c r="A73" t="s">
        <v>458</v>
      </c>
    </row>
    <row r="74" spans="1:1" x14ac:dyDescent="0.2">
      <c r="A74" t="s">
        <v>459</v>
      </c>
    </row>
    <row r="75" spans="1:1" x14ac:dyDescent="0.2">
      <c r="A75" t="s">
        <v>460</v>
      </c>
    </row>
    <row r="76" spans="1:1" x14ac:dyDescent="0.2">
      <c r="A76" t="s">
        <v>461</v>
      </c>
    </row>
    <row r="77" spans="1:1" x14ac:dyDescent="0.2">
      <c r="A77" t="s">
        <v>462</v>
      </c>
    </row>
    <row r="78" spans="1:1" x14ac:dyDescent="0.2">
      <c r="A78" t="s">
        <v>463</v>
      </c>
    </row>
    <row r="79" spans="1:1" x14ac:dyDescent="0.2">
      <c r="A79" t="s">
        <v>464</v>
      </c>
    </row>
    <row r="80" spans="1:1" x14ac:dyDescent="0.2">
      <c r="A80" t="s">
        <v>465</v>
      </c>
    </row>
    <row r="81" spans="1:1" x14ac:dyDescent="0.2">
      <c r="A81" t="s">
        <v>466</v>
      </c>
    </row>
    <row r="82" spans="1:1" x14ac:dyDescent="0.2">
      <c r="A82" t="s">
        <v>467</v>
      </c>
    </row>
    <row r="83" spans="1:1" x14ac:dyDescent="0.2">
      <c r="A83" t="s">
        <v>468</v>
      </c>
    </row>
    <row r="84" spans="1:1" x14ac:dyDescent="0.2">
      <c r="A84" t="s">
        <v>469</v>
      </c>
    </row>
    <row r="85" spans="1:1" x14ac:dyDescent="0.2">
      <c r="A85" t="s">
        <v>470</v>
      </c>
    </row>
    <row r="86" spans="1:1" x14ac:dyDescent="0.2">
      <c r="A86" t="s">
        <v>471</v>
      </c>
    </row>
    <row r="87" spans="1:1" x14ac:dyDescent="0.2">
      <c r="A87" t="s">
        <v>472</v>
      </c>
    </row>
    <row r="88" spans="1:1" x14ac:dyDescent="0.2">
      <c r="A88" t="s">
        <v>473</v>
      </c>
    </row>
    <row r="89" spans="1:1" x14ac:dyDescent="0.2">
      <c r="A89" t="s">
        <v>474</v>
      </c>
    </row>
    <row r="90" spans="1:1" x14ac:dyDescent="0.2">
      <c r="A90" t="s">
        <v>475</v>
      </c>
    </row>
    <row r="91" spans="1:1" x14ac:dyDescent="0.2">
      <c r="A91" t="s">
        <v>476</v>
      </c>
    </row>
    <row r="92" spans="1:1" x14ac:dyDescent="0.2">
      <c r="A92" t="s">
        <v>477</v>
      </c>
    </row>
    <row r="93" spans="1:1" x14ac:dyDescent="0.2">
      <c r="A93" t="s">
        <v>478</v>
      </c>
    </row>
    <row r="94" spans="1:1" x14ac:dyDescent="0.2">
      <c r="A94" t="s">
        <v>479</v>
      </c>
    </row>
    <row r="95" spans="1:1" x14ac:dyDescent="0.2">
      <c r="A95" t="s">
        <v>480</v>
      </c>
    </row>
    <row r="96" spans="1:1" x14ac:dyDescent="0.2">
      <c r="A96" t="s">
        <v>481</v>
      </c>
    </row>
    <row r="97" spans="1:1" x14ac:dyDescent="0.2">
      <c r="A97" t="s">
        <v>482</v>
      </c>
    </row>
    <row r="98" spans="1:1" x14ac:dyDescent="0.2">
      <c r="A98" t="s">
        <v>483</v>
      </c>
    </row>
    <row r="99" spans="1:1" x14ac:dyDescent="0.2">
      <c r="A99" t="s">
        <v>484</v>
      </c>
    </row>
    <row r="100" spans="1:1" x14ac:dyDescent="0.2">
      <c r="A100" t="s">
        <v>485</v>
      </c>
    </row>
    <row r="101" spans="1:1" x14ac:dyDescent="0.2">
      <c r="A101" t="s">
        <v>489</v>
      </c>
    </row>
    <row r="102" spans="1:1" x14ac:dyDescent="0.2">
      <c r="A102" t="s">
        <v>487</v>
      </c>
    </row>
    <row r="103" spans="1:1" x14ac:dyDescent="0.2">
      <c r="A103" t="s">
        <v>389</v>
      </c>
    </row>
    <row r="110" spans="1:1" ht="20" x14ac:dyDescent="0.2">
      <c r="A110" s="31" t="s">
        <v>490</v>
      </c>
    </row>
    <row r="114" spans="1:1" ht="16" x14ac:dyDescent="0.2">
      <c r="A114" s="20" t="s">
        <v>491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E4A1-C4CA-074C-BA5A-5F7D873D1C24}">
  <dimension ref="A1:E26"/>
  <sheetViews>
    <sheetView topLeftCell="A5" workbookViewId="0">
      <selection activeCell="G11" sqref="G11"/>
    </sheetView>
  </sheetViews>
  <sheetFormatPr baseColWidth="10" defaultRowHeight="15" x14ac:dyDescent="0.2"/>
  <cols>
    <col min="1" max="1" width="16.33203125" style="1" bestFit="1" customWidth="1"/>
    <col min="2" max="2" width="7.6640625" style="1" customWidth="1"/>
    <col min="3" max="3" width="8.83203125" style="1" customWidth="1"/>
    <col min="4" max="4" width="9.33203125" style="1" customWidth="1"/>
    <col min="5" max="5" width="22.1640625" style="7" customWidth="1"/>
    <col min="6" max="6" width="14.1640625" bestFit="1" customWidth="1"/>
    <col min="7" max="7" width="29.83203125" customWidth="1"/>
  </cols>
  <sheetData>
    <row r="1" spans="1:5" s="2" customFormat="1" ht="30" customHeight="1" x14ac:dyDescent="0.2">
      <c r="A1" s="3" t="s">
        <v>203</v>
      </c>
      <c r="B1" s="3" t="s">
        <v>193</v>
      </c>
      <c r="C1" s="3" t="s">
        <v>204</v>
      </c>
      <c r="D1" s="3" t="s">
        <v>195</v>
      </c>
      <c r="E1" s="5" t="s">
        <v>169</v>
      </c>
    </row>
    <row r="2" spans="1:5" ht="48" x14ac:dyDescent="0.2">
      <c r="A2" s="4" t="s">
        <v>0</v>
      </c>
      <c r="B2" s="4"/>
      <c r="C2" s="4" t="s">
        <v>196</v>
      </c>
      <c r="D2" s="4" t="s">
        <v>196</v>
      </c>
      <c r="E2" s="6" t="s">
        <v>171</v>
      </c>
    </row>
    <row r="3" spans="1:5" ht="96" x14ac:dyDescent="0.2">
      <c r="A3" s="4" t="s">
        <v>1</v>
      </c>
      <c r="B3" s="4">
        <v>0.02</v>
      </c>
      <c r="C3" s="4" t="s">
        <v>197</v>
      </c>
      <c r="D3" s="4" t="s">
        <v>196</v>
      </c>
      <c r="E3" s="6" t="s">
        <v>194</v>
      </c>
    </row>
    <row r="4" spans="1:5" ht="16" x14ac:dyDescent="0.2">
      <c r="A4" s="4" t="s">
        <v>2</v>
      </c>
      <c r="B4" s="4"/>
      <c r="C4" s="4" t="s">
        <v>197</v>
      </c>
      <c r="D4" s="4" t="s">
        <v>197</v>
      </c>
      <c r="E4" s="6" t="s">
        <v>174</v>
      </c>
    </row>
    <row r="5" spans="1:5" ht="64" x14ac:dyDescent="0.2">
      <c r="A5" s="4" t="s">
        <v>3</v>
      </c>
      <c r="B5" s="4">
        <v>0.02</v>
      </c>
      <c r="C5" s="4" t="s">
        <v>197</v>
      </c>
      <c r="D5" s="4" t="s">
        <v>196</v>
      </c>
      <c r="E5" s="6" t="s">
        <v>198</v>
      </c>
    </row>
    <row r="6" spans="1:5" ht="80" x14ac:dyDescent="0.2">
      <c r="A6" s="4" t="s">
        <v>4</v>
      </c>
      <c r="B6" s="4">
        <v>0.06</v>
      </c>
      <c r="C6" s="4" t="s">
        <v>197</v>
      </c>
      <c r="D6" s="4" t="s">
        <v>196</v>
      </c>
      <c r="E6" s="6" t="s">
        <v>199</v>
      </c>
    </row>
    <row r="7" spans="1:5" ht="48" x14ac:dyDescent="0.2">
      <c r="A7" s="4" t="s">
        <v>5</v>
      </c>
      <c r="B7" s="4">
        <v>0.03</v>
      </c>
      <c r="C7" s="4" t="s">
        <v>196</v>
      </c>
      <c r="D7" s="4" t="s">
        <v>196</v>
      </c>
      <c r="E7" s="6" t="s">
        <v>176</v>
      </c>
    </row>
    <row r="8" spans="1:5" ht="48" x14ac:dyDescent="0.2">
      <c r="A8" s="4" t="s">
        <v>48</v>
      </c>
      <c r="B8" s="4">
        <v>7.0000000000000007E-2</v>
      </c>
      <c r="C8" s="4" t="s">
        <v>196</v>
      </c>
      <c r="D8" s="4" t="s">
        <v>196</v>
      </c>
      <c r="E8" s="6" t="s">
        <v>177</v>
      </c>
    </row>
    <row r="9" spans="1:5" ht="64" x14ac:dyDescent="0.2">
      <c r="A9" s="4" t="s">
        <v>6</v>
      </c>
      <c r="B9" s="4">
        <v>0.26</v>
      </c>
      <c r="C9" s="4" t="s">
        <v>197</v>
      </c>
      <c r="D9" s="4" t="s">
        <v>197</v>
      </c>
      <c r="E9" s="6" t="s">
        <v>180</v>
      </c>
    </row>
    <row r="10" spans="1:5" ht="48" x14ac:dyDescent="0.2">
      <c r="A10" s="4" t="s">
        <v>69</v>
      </c>
      <c r="B10" s="4">
        <v>0.11</v>
      </c>
      <c r="C10" s="4" t="s">
        <v>197</v>
      </c>
      <c r="D10" s="4" t="s">
        <v>197</v>
      </c>
      <c r="E10" s="6" t="s">
        <v>200</v>
      </c>
    </row>
    <row r="11" spans="1:5" ht="64" x14ac:dyDescent="0.2">
      <c r="A11" s="4" t="s">
        <v>7</v>
      </c>
      <c r="B11" s="4">
        <v>0.28000000000000003</v>
      </c>
      <c r="C11" s="4" t="s">
        <v>197</v>
      </c>
      <c r="D11" s="4" t="s">
        <v>201</v>
      </c>
      <c r="E11" s="6" t="s">
        <v>178</v>
      </c>
    </row>
    <row r="12" spans="1:5" ht="48" x14ac:dyDescent="0.2">
      <c r="A12" s="4" t="s">
        <v>68</v>
      </c>
      <c r="B12" s="4"/>
      <c r="C12" s="4" t="s">
        <v>196</v>
      </c>
      <c r="D12" s="4" t="s">
        <v>196</v>
      </c>
      <c r="E12" s="6" t="s">
        <v>181</v>
      </c>
    </row>
    <row r="13" spans="1:5" ht="64" x14ac:dyDescent="0.2">
      <c r="A13" s="4" t="s">
        <v>8</v>
      </c>
      <c r="B13" s="4"/>
      <c r="C13" s="4" t="s">
        <v>196</v>
      </c>
      <c r="D13" s="4" t="s">
        <v>196</v>
      </c>
      <c r="E13" s="6" t="s">
        <v>182</v>
      </c>
    </row>
    <row r="14" spans="1:5" ht="48" x14ac:dyDescent="0.2">
      <c r="A14" s="4" t="s">
        <v>67</v>
      </c>
      <c r="B14" s="4"/>
      <c r="C14" s="4" t="s">
        <v>196</v>
      </c>
      <c r="D14" s="4" t="s">
        <v>196</v>
      </c>
      <c r="E14" s="6" t="s">
        <v>183</v>
      </c>
    </row>
    <row r="15" spans="1:5" ht="112" x14ac:dyDescent="0.2">
      <c r="A15" s="4" t="s">
        <v>9</v>
      </c>
      <c r="B15" s="4"/>
      <c r="C15" s="4" t="s">
        <v>197</v>
      </c>
      <c r="D15" s="4" t="s">
        <v>196</v>
      </c>
      <c r="E15" s="6" t="s">
        <v>184</v>
      </c>
    </row>
    <row r="16" spans="1:5" ht="48" x14ac:dyDescent="0.2">
      <c r="A16" s="4" t="s">
        <v>10</v>
      </c>
      <c r="B16" s="4">
        <v>0.11</v>
      </c>
      <c r="C16" s="4" t="s">
        <v>197</v>
      </c>
      <c r="D16" s="4" t="s">
        <v>197</v>
      </c>
      <c r="E16" s="6" t="s">
        <v>185</v>
      </c>
    </row>
    <row r="17" spans="1:5" ht="64" x14ac:dyDescent="0.2">
      <c r="A17" s="4" t="s">
        <v>11</v>
      </c>
      <c r="B17" s="4">
        <v>0.05</v>
      </c>
      <c r="C17" s="4" t="s">
        <v>197</v>
      </c>
      <c r="D17" s="4" t="s">
        <v>202</v>
      </c>
      <c r="E17" s="6" t="s">
        <v>186</v>
      </c>
    </row>
    <row r="18" spans="1:5" ht="64" x14ac:dyDescent="0.2">
      <c r="A18" s="4" t="s">
        <v>52</v>
      </c>
      <c r="B18" s="4"/>
      <c r="C18" s="4" t="s">
        <v>197</v>
      </c>
      <c r="D18" s="4" t="s">
        <v>202</v>
      </c>
      <c r="E18" s="6" t="s">
        <v>187</v>
      </c>
    </row>
    <row r="19" spans="1:5" ht="64" x14ac:dyDescent="0.2">
      <c r="A19" s="4" t="s">
        <v>54</v>
      </c>
      <c r="B19" s="4"/>
      <c r="C19" s="4" t="s">
        <v>197</v>
      </c>
      <c r="D19" s="4" t="s">
        <v>202</v>
      </c>
      <c r="E19" s="6" t="s">
        <v>187</v>
      </c>
    </row>
    <row r="20" spans="1:5" ht="32" x14ac:dyDescent="0.2">
      <c r="A20" s="4" t="s">
        <v>12</v>
      </c>
      <c r="B20" s="4">
        <v>0.23</v>
      </c>
      <c r="C20" s="4" t="s">
        <v>197</v>
      </c>
      <c r="D20" s="4" t="s">
        <v>197</v>
      </c>
      <c r="E20" s="6" t="s">
        <v>188</v>
      </c>
    </row>
    <row r="21" spans="1:5" ht="32" x14ac:dyDescent="0.2">
      <c r="A21" s="4" t="s">
        <v>13</v>
      </c>
      <c r="B21" s="4">
        <v>0.08</v>
      </c>
      <c r="C21" s="4" t="s">
        <v>197</v>
      </c>
      <c r="D21" s="4" t="s">
        <v>196</v>
      </c>
      <c r="E21" s="6" t="s">
        <v>188</v>
      </c>
    </row>
    <row r="22" spans="1:5" ht="16" x14ac:dyDescent="0.2">
      <c r="A22" s="4" t="s">
        <v>41</v>
      </c>
      <c r="B22" s="4"/>
      <c r="C22" s="4" t="s">
        <v>196</v>
      </c>
      <c r="D22" s="4" t="s">
        <v>196</v>
      </c>
      <c r="E22" s="6" t="s">
        <v>189</v>
      </c>
    </row>
    <row r="23" spans="1:5" ht="32" x14ac:dyDescent="0.2">
      <c r="A23" s="4" t="s">
        <v>46</v>
      </c>
      <c r="B23" s="4"/>
      <c r="C23" s="4" t="s">
        <v>172</v>
      </c>
      <c r="D23" s="4" t="s">
        <v>196</v>
      </c>
      <c r="E23" s="6" t="s">
        <v>190</v>
      </c>
    </row>
    <row r="24" spans="1:5" ht="64" x14ac:dyDescent="0.2">
      <c r="A24" s="4" t="s">
        <v>14</v>
      </c>
      <c r="B24" s="4">
        <v>7.0000000000000007E-2</v>
      </c>
      <c r="C24" s="4" t="s">
        <v>196</v>
      </c>
      <c r="D24" s="4" t="s">
        <v>196</v>
      </c>
      <c r="E24" s="6" t="s">
        <v>192</v>
      </c>
    </row>
    <row r="25" spans="1:5" ht="64" x14ac:dyDescent="0.2">
      <c r="A25" s="4" t="s">
        <v>15</v>
      </c>
      <c r="B25" s="4">
        <v>0.15</v>
      </c>
      <c r="C25" s="4" t="s">
        <v>196</v>
      </c>
      <c r="D25" s="4" t="s">
        <v>196</v>
      </c>
      <c r="E25" s="6" t="s">
        <v>192</v>
      </c>
    </row>
    <row r="26" spans="1:5" ht="48" x14ac:dyDescent="0.2">
      <c r="A26" s="4" t="s">
        <v>16</v>
      </c>
      <c r="B26" s="4"/>
      <c r="C26" s="4" t="s">
        <v>196</v>
      </c>
      <c r="D26" s="4" t="s">
        <v>196</v>
      </c>
      <c r="E26" s="6" t="s">
        <v>191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78738-A86C-D84F-9E84-635E8EB5013A}">
  <dimension ref="A1:C26"/>
  <sheetViews>
    <sheetView workbookViewId="0">
      <selection activeCell="G4" sqref="G4"/>
    </sheetView>
  </sheetViews>
  <sheetFormatPr baseColWidth="10" defaultRowHeight="15" x14ac:dyDescent="0.2"/>
  <cols>
    <col min="1" max="1" width="22.1640625" customWidth="1"/>
    <col min="2" max="2" width="18.5" customWidth="1"/>
  </cols>
  <sheetData>
    <row r="1" spans="1:3" ht="33" thickBot="1" x14ac:dyDescent="0.25">
      <c r="A1" s="9" t="s">
        <v>31</v>
      </c>
      <c r="B1" s="10" t="s">
        <v>168</v>
      </c>
      <c r="C1" s="11" t="s">
        <v>169</v>
      </c>
    </row>
    <row r="2" spans="1:3" ht="112" x14ac:dyDescent="0.2">
      <c r="A2" s="12" t="s">
        <v>0</v>
      </c>
      <c r="B2" s="13" t="s">
        <v>170</v>
      </c>
      <c r="C2" s="12" t="s">
        <v>171</v>
      </c>
    </row>
    <row r="3" spans="1:3" ht="112" x14ac:dyDescent="0.2">
      <c r="A3" s="12" t="s">
        <v>1</v>
      </c>
      <c r="B3" s="14" t="s">
        <v>172</v>
      </c>
      <c r="C3" s="15" t="s">
        <v>205</v>
      </c>
    </row>
    <row r="4" spans="1:3" ht="48" x14ac:dyDescent="0.2">
      <c r="A4" s="12" t="s">
        <v>2</v>
      </c>
      <c r="B4" s="13" t="s">
        <v>172</v>
      </c>
      <c r="C4" s="12" t="s">
        <v>174</v>
      </c>
    </row>
    <row r="5" spans="1:3" ht="48" x14ac:dyDescent="0.2">
      <c r="A5" s="12" t="s">
        <v>3</v>
      </c>
      <c r="B5" s="14" t="s">
        <v>172</v>
      </c>
      <c r="C5" s="15" t="s">
        <v>174</v>
      </c>
    </row>
    <row r="6" spans="1:3" ht="80" x14ac:dyDescent="0.2">
      <c r="A6" s="12" t="s">
        <v>4</v>
      </c>
      <c r="B6" s="13" t="s">
        <v>172</v>
      </c>
      <c r="C6" s="12" t="s">
        <v>175</v>
      </c>
    </row>
    <row r="7" spans="1:3" ht="96" x14ac:dyDescent="0.2">
      <c r="A7" s="12" t="s">
        <v>5</v>
      </c>
      <c r="B7" s="14" t="s">
        <v>170</v>
      </c>
      <c r="C7" s="15" t="s">
        <v>176</v>
      </c>
    </row>
    <row r="8" spans="1:3" ht="112" x14ac:dyDescent="0.2">
      <c r="A8" s="12" t="s">
        <v>48</v>
      </c>
      <c r="B8" s="13" t="s">
        <v>170</v>
      </c>
      <c r="C8" s="12" t="s">
        <v>177</v>
      </c>
    </row>
    <row r="9" spans="1:3" ht="128" x14ac:dyDescent="0.2">
      <c r="A9" s="12" t="s">
        <v>6</v>
      </c>
      <c r="B9" s="14" t="s">
        <v>172</v>
      </c>
      <c r="C9" s="15" t="s">
        <v>180</v>
      </c>
    </row>
    <row r="10" spans="1:3" ht="128" x14ac:dyDescent="0.2">
      <c r="A10" s="12" t="s">
        <v>69</v>
      </c>
      <c r="B10" s="13" t="s">
        <v>170</v>
      </c>
      <c r="C10" s="12" t="s">
        <v>179</v>
      </c>
    </row>
    <row r="11" spans="1:3" ht="112" x14ac:dyDescent="0.2">
      <c r="A11" s="12" t="s">
        <v>7</v>
      </c>
      <c r="B11" s="14" t="s">
        <v>172</v>
      </c>
      <c r="C11" s="15" t="s">
        <v>178</v>
      </c>
    </row>
    <row r="12" spans="1:3" ht="112" x14ac:dyDescent="0.2">
      <c r="A12" s="12" t="s">
        <v>68</v>
      </c>
      <c r="B12" s="13" t="s">
        <v>170</v>
      </c>
      <c r="C12" s="12" t="s">
        <v>181</v>
      </c>
    </row>
    <row r="13" spans="1:3" ht="128" x14ac:dyDescent="0.2">
      <c r="A13" s="12" t="s">
        <v>8</v>
      </c>
      <c r="B13" s="14" t="s">
        <v>170</v>
      </c>
      <c r="C13" s="15" t="s">
        <v>206</v>
      </c>
    </row>
    <row r="14" spans="1:3" ht="128" x14ac:dyDescent="0.2">
      <c r="A14" s="12" t="s">
        <v>67</v>
      </c>
      <c r="B14" s="8"/>
      <c r="C14" s="12" t="s">
        <v>183</v>
      </c>
    </row>
    <row r="15" spans="1:3" ht="256" x14ac:dyDescent="0.2">
      <c r="A15" s="12" t="s">
        <v>9</v>
      </c>
      <c r="B15" s="14" t="s">
        <v>172</v>
      </c>
      <c r="C15" s="15" t="s">
        <v>207</v>
      </c>
    </row>
    <row r="16" spans="1:3" ht="96" x14ac:dyDescent="0.2">
      <c r="A16" s="12" t="s">
        <v>10</v>
      </c>
      <c r="B16" s="13" t="s">
        <v>172</v>
      </c>
      <c r="C16" s="12" t="s">
        <v>208</v>
      </c>
    </row>
    <row r="17" spans="1:3" ht="144" x14ac:dyDescent="0.2">
      <c r="A17" s="12" t="s">
        <v>11</v>
      </c>
      <c r="B17" s="14" t="s">
        <v>172</v>
      </c>
      <c r="C17" s="15" t="s">
        <v>186</v>
      </c>
    </row>
    <row r="18" spans="1:3" ht="144" x14ac:dyDescent="0.2">
      <c r="A18" s="12" t="s">
        <v>52</v>
      </c>
      <c r="B18" s="13" t="s">
        <v>172</v>
      </c>
      <c r="C18" s="12" t="s">
        <v>187</v>
      </c>
    </row>
    <row r="19" spans="1:3" ht="144" x14ac:dyDescent="0.2">
      <c r="A19" s="12" t="s">
        <v>54</v>
      </c>
      <c r="B19" s="14" t="s">
        <v>172</v>
      </c>
      <c r="C19" s="15" t="s">
        <v>187</v>
      </c>
    </row>
    <row r="20" spans="1:3" ht="96" x14ac:dyDescent="0.2">
      <c r="A20" s="12" t="s">
        <v>12</v>
      </c>
      <c r="B20" s="13" t="s">
        <v>172</v>
      </c>
      <c r="C20" s="12" t="s">
        <v>188</v>
      </c>
    </row>
    <row r="21" spans="1:3" ht="96" x14ac:dyDescent="0.2">
      <c r="A21" s="12" t="s">
        <v>13</v>
      </c>
      <c r="B21" s="14" t="s">
        <v>172</v>
      </c>
      <c r="C21" s="15" t="s">
        <v>188</v>
      </c>
    </row>
    <row r="22" spans="1:3" ht="48" x14ac:dyDescent="0.2">
      <c r="A22" s="12" t="s">
        <v>41</v>
      </c>
      <c r="B22" s="13" t="s">
        <v>170</v>
      </c>
      <c r="C22" s="12" t="s">
        <v>189</v>
      </c>
    </row>
    <row r="23" spans="1:3" ht="80" x14ac:dyDescent="0.2">
      <c r="A23" s="12" t="s">
        <v>46</v>
      </c>
      <c r="B23" s="14" t="s">
        <v>172</v>
      </c>
      <c r="C23" s="15" t="s">
        <v>190</v>
      </c>
    </row>
    <row r="24" spans="1:3" ht="144" x14ac:dyDescent="0.2">
      <c r="A24" s="12" t="s">
        <v>14</v>
      </c>
      <c r="B24" s="13" t="s">
        <v>170</v>
      </c>
      <c r="C24" s="12" t="s">
        <v>209</v>
      </c>
    </row>
    <row r="25" spans="1:3" ht="144" x14ac:dyDescent="0.2">
      <c r="A25" s="12" t="s">
        <v>15</v>
      </c>
      <c r="B25" s="14" t="s">
        <v>170</v>
      </c>
      <c r="C25" s="15" t="s">
        <v>209</v>
      </c>
    </row>
    <row r="26" spans="1:3" ht="113" thickBot="1" x14ac:dyDescent="0.25">
      <c r="A26" s="12" t="s">
        <v>16</v>
      </c>
      <c r="B26" s="16" t="s">
        <v>172</v>
      </c>
      <c r="C26" s="17" t="s">
        <v>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75FB2-E388-A540-909B-CE0C5CB712D8}">
  <dimension ref="A1:C14"/>
  <sheetViews>
    <sheetView workbookViewId="0">
      <selection sqref="A1:XFD1"/>
    </sheetView>
  </sheetViews>
  <sheetFormatPr baseColWidth="10" defaultRowHeight="15" x14ac:dyDescent="0.2"/>
  <cols>
    <col min="1" max="1" width="14.1640625" customWidth="1"/>
    <col min="2" max="2" width="24.83203125" style="18" bestFit="1" customWidth="1"/>
    <col min="3" max="3" width="34.83203125" customWidth="1"/>
  </cols>
  <sheetData>
    <row r="1" spans="1:3" x14ac:dyDescent="0.2">
      <c r="A1" t="s">
        <v>211</v>
      </c>
      <c r="B1" s="18" t="s">
        <v>226</v>
      </c>
      <c r="C1" t="s">
        <v>217</v>
      </c>
    </row>
    <row r="2" spans="1:3" ht="64" x14ac:dyDescent="0.2">
      <c r="A2" s="2" t="s">
        <v>212</v>
      </c>
      <c r="B2" s="19" t="s">
        <v>218</v>
      </c>
      <c r="C2" s="3" t="s">
        <v>223</v>
      </c>
    </row>
    <row r="3" spans="1:3" ht="32" x14ac:dyDescent="0.2">
      <c r="A3" s="2" t="s">
        <v>213</v>
      </c>
      <c r="B3" s="19" t="s">
        <v>218</v>
      </c>
      <c r="C3" s="3" t="s">
        <v>183</v>
      </c>
    </row>
    <row r="4" spans="1:3" ht="80" x14ac:dyDescent="0.2">
      <c r="A4" s="2" t="s">
        <v>214</v>
      </c>
      <c r="B4" s="19" t="s">
        <v>218</v>
      </c>
      <c r="C4" s="3" t="s">
        <v>222</v>
      </c>
    </row>
    <row r="5" spans="1:3" ht="80" x14ac:dyDescent="0.2">
      <c r="A5" s="2" t="s">
        <v>215</v>
      </c>
      <c r="B5" s="19" t="s">
        <v>218</v>
      </c>
      <c r="C5" s="3" t="s">
        <v>219</v>
      </c>
    </row>
    <row r="6" spans="1:3" ht="96" x14ac:dyDescent="0.2">
      <c r="A6" s="2" t="s">
        <v>216</v>
      </c>
      <c r="B6" s="19" t="s">
        <v>218</v>
      </c>
      <c r="C6" s="3" t="s">
        <v>221</v>
      </c>
    </row>
    <row r="7" spans="1:3" ht="128" x14ac:dyDescent="0.2">
      <c r="A7" s="2" t="s">
        <v>54</v>
      </c>
      <c r="B7" s="19" t="s">
        <v>218</v>
      </c>
      <c r="C7" s="3" t="s">
        <v>224</v>
      </c>
    </row>
    <row r="8" spans="1:3" ht="128" x14ac:dyDescent="0.2">
      <c r="A8" s="2" t="s">
        <v>52</v>
      </c>
      <c r="B8" s="19" t="s">
        <v>218</v>
      </c>
      <c r="C8" s="3" t="s">
        <v>224</v>
      </c>
    </row>
    <row r="9" spans="1:3" ht="96" x14ac:dyDescent="0.2">
      <c r="A9" s="2" t="s">
        <v>48</v>
      </c>
      <c r="B9" s="19" t="s">
        <v>218</v>
      </c>
      <c r="C9" s="3" t="s">
        <v>220</v>
      </c>
    </row>
    <row r="10" spans="1:3" ht="48" x14ac:dyDescent="0.2">
      <c r="A10" s="2" t="s">
        <v>140</v>
      </c>
      <c r="B10" s="19" t="s">
        <v>225</v>
      </c>
      <c r="C10" s="3" t="s">
        <v>227</v>
      </c>
    </row>
    <row r="11" spans="1:3" ht="48" x14ac:dyDescent="0.2">
      <c r="A11" s="2" t="s">
        <v>4</v>
      </c>
      <c r="B11" s="19" t="s">
        <v>225</v>
      </c>
      <c r="C11" s="3" t="s">
        <v>228</v>
      </c>
    </row>
    <row r="12" spans="1:3" ht="48" x14ac:dyDescent="0.2">
      <c r="A12" s="2" t="s">
        <v>10</v>
      </c>
      <c r="B12" s="19" t="s">
        <v>225</v>
      </c>
      <c r="C12" s="3" t="s">
        <v>231</v>
      </c>
    </row>
    <row r="13" spans="1:3" ht="48" x14ac:dyDescent="0.2">
      <c r="A13" s="2" t="s">
        <v>3</v>
      </c>
      <c r="B13" s="19" t="s">
        <v>225</v>
      </c>
      <c r="C13" s="3" t="s">
        <v>230</v>
      </c>
    </row>
    <row r="14" spans="1:3" ht="144" x14ac:dyDescent="0.2">
      <c r="A14" s="2" t="s">
        <v>9</v>
      </c>
      <c r="B14" s="19" t="s">
        <v>225</v>
      </c>
      <c r="C14" s="3" t="s">
        <v>229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4</vt:i4>
      </vt:variant>
    </vt:vector>
  </HeadingPairs>
  <TitlesOfParts>
    <vt:vector size="14" baseType="lpstr">
      <vt:lpstr>2018 and prior</vt:lpstr>
      <vt:lpstr>Sheet4</vt:lpstr>
      <vt:lpstr>Sheet5</vt:lpstr>
      <vt:lpstr>2019 and beyond</vt:lpstr>
      <vt:lpstr>Sheet1</vt:lpstr>
      <vt:lpstr>Sheet2</vt:lpstr>
      <vt:lpstr>Sheet3</vt:lpstr>
      <vt:lpstr>Statistical Selection</vt:lpstr>
      <vt:lpstr>Logical Selection</vt:lpstr>
      <vt:lpstr>Data Treatment</vt:lpstr>
      <vt:lpstr>'2018 and prior'!Print_Area</vt:lpstr>
      <vt:lpstr>'2019 and beyond'!Print_Area</vt:lpstr>
      <vt:lpstr>'2018 and prior'!Print_Titles</vt:lpstr>
      <vt:lpstr>'2019 and beyond'!Print_Titles</vt:lpstr>
    </vt:vector>
  </TitlesOfParts>
  <Company>U.S. CPSC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Li Hui</dc:creator>
  <cp:lastModifiedBy>Anand Divakaran</cp:lastModifiedBy>
  <cp:lastPrinted>2019-04-04T18:26:56Z</cp:lastPrinted>
  <dcterms:created xsi:type="dcterms:W3CDTF">2019-04-04T15:57:04Z</dcterms:created>
  <dcterms:modified xsi:type="dcterms:W3CDTF">2026-03-24T05:44:31Z</dcterms:modified>
</cp:coreProperties>
</file>